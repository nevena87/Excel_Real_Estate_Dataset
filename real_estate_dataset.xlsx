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Nevena\Radna površina\"/>
    </mc:Choice>
  </mc:AlternateContent>
  <xr:revisionPtr revIDLastSave="0" documentId="13_ncr:1_{62BC1793-FE8A-455F-83CE-5C63BFF56DF8}" xr6:coauthVersionLast="47" xr6:coauthVersionMax="47" xr10:uidLastSave="{00000000-0000-0000-0000-000000000000}"/>
  <bookViews>
    <workbookView xWindow="-108" yWindow="-108" windowWidth="23256" windowHeight="12456" activeTab="4" xr2:uid="{00000000-000D-0000-FFFF-FFFF00000000}"/>
  </bookViews>
  <sheets>
    <sheet name="Properties" sheetId="1" r:id="rId1"/>
    <sheet name="Agents" sheetId="2" r:id="rId2"/>
    <sheet name="Sales" sheetId="3" r:id="rId3"/>
    <sheet name="Pivot tables" sheetId="4" r:id="rId4"/>
    <sheet name="Dashboard" sheetId="9" r:id="rId5"/>
    <sheet name="Analysis" sheetId="6" r:id="rId6"/>
  </sheets>
  <definedNames>
    <definedName name="_xlnm.Print_Area" localSheetId="4">Dashboard!$B$1:$G$37</definedName>
    <definedName name="Slicer_City">#N/A</definedName>
    <definedName name="Slicer_Status">#N/A</definedName>
  </definedNames>
  <calcPr calcId="191029"/>
  <pivotCaches>
    <pivotCache cacheId="4" r:id="rId7"/>
    <pivotCache cacheId="5"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2" i="3" l="1"/>
  <c r="N2" i="3"/>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L2"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K3" i="3"/>
  <c r="K2"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J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E2" i="6"/>
  <c r="C2" i="6"/>
  <c r="B2" i="6"/>
  <c r="A2" i="6"/>
  <c r="I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H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G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2" i="1"/>
  <c r="D2"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0E34F2-8908-434F-AB3E-218FF5B07950}" keepAlive="1" name="Query - Table3" description="Connection to the 'Table3' query in the workbook." type="5" refreshedVersion="0" background="1">
    <dbPr connection="Provider=Microsoft.Mashup.OleDb.1;Data Source=$Workbook$;Location=Table3;Extended Properties=&quot;&quot;" command="SELECT * FROM [Table3]"/>
  </connection>
</connections>
</file>

<file path=xl/sharedStrings.xml><?xml version="1.0" encoding="utf-8"?>
<sst xmlns="http://schemas.openxmlformats.org/spreadsheetml/2006/main" count="2019" uniqueCount="466">
  <si>
    <t>PropertyID</t>
  </si>
  <si>
    <t>City</t>
  </si>
  <si>
    <t>Type</t>
  </si>
  <si>
    <t>ListingPrice</t>
  </si>
  <si>
    <t>ListedDate</t>
  </si>
  <si>
    <t>Belgrade</t>
  </si>
  <si>
    <t>Apartment</t>
  </si>
  <si>
    <t>2024-05-20</t>
  </si>
  <si>
    <t>Novi Sad</t>
  </si>
  <si>
    <t>House</t>
  </si>
  <si>
    <t>2025-01-12</t>
  </si>
  <si>
    <t>2024-08-04</t>
  </si>
  <si>
    <t>2024-04-21</t>
  </si>
  <si>
    <t>2024-04-11</t>
  </si>
  <si>
    <t>Nis</t>
  </si>
  <si>
    <t>Studio</t>
  </si>
  <si>
    <t>2024-08-17</t>
  </si>
  <si>
    <t>Villa</t>
  </si>
  <si>
    <t>2025-03-21</t>
  </si>
  <si>
    <t>Subotica</t>
  </si>
  <si>
    <t>2024-04-20</t>
  </si>
  <si>
    <t>2024-07-13</t>
  </si>
  <si>
    <t>2024-11-05</t>
  </si>
  <si>
    <t>2024-08-23</t>
  </si>
  <si>
    <t>2024-02-10</t>
  </si>
  <si>
    <t>2024-11-17</t>
  </si>
  <si>
    <t>2024-04-08</t>
  </si>
  <si>
    <t>2024-04-26</t>
  </si>
  <si>
    <t>2025-03-19</t>
  </si>
  <si>
    <t>2024-08-20</t>
  </si>
  <si>
    <t>2024-06-30</t>
  </si>
  <si>
    <t>2025-04-24</t>
  </si>
  <si>
    <t>2025-01-08</t>
  </si>
  <si>
    <t>2024-06-15</t>
  </si>
  <si>
    <t>2024-01-17</t>
  </si>
  <si>
    <t>2024-02-03</t>
  </si>
  <si>
    <t>2024-12-01</t>
  </si>
  <si>
    <t>Becej</t>
  </si>
  <si>
    <t>2024-08-22</t>
  </si>
  <si>
    <t>2024-05-06</t>
  </si>
  <si>
    <t>2024-10-26</t>
  </si>
  <si>
    <t>2024-04-22</t>
  </si>
  <si>
    <t>2025-01-21</t>
  </si>
  <si>
    <t>2024-02-02</t>
  </si>
  <si>
    <t>2024-08-27</t>
  </si>
  <si>
    <t>2025-03-16</t>
  </si>
  <si>
    <t>2025-03-29</t>
  </si>
  <si>
    <t>2024-11-24</t>
  </si>
  <si>
    <t>2024-08-10</t>
  </si>
  <si>
    <t>2025-05-03</t>
  </si>
  <si>
    <t>2025-04-12</t>
  </si>
  <si>
    <t>2024-09-16</t>
  </si>
  <si>
    <t>2024-07-10</t>
  </si>
  <si>
    <t>2024-06-14</t>
  </si>
  <si>
    <t>2025-04-20</t>
  </si>
  <si>
    <t>2024-01-30</t>
  </si>
  <si>
    <t>2025-01-09</t>
  </si>
  <si>
    <t>2024-09-29</t>
  </si>
  <si>
    <t>2024-08-31</t>
  </si>
  <si>
    <t>2024-09-27</t>
  </si>
  <si>
    <t>2024-06-08</t>
  </si>
  <si>
    <t>2025-04-05</t>
  </si>
  <si>
    <t>2024-01-11</t>
  </si>
  <si>
    <t>2024-11-19</t>
  </si>
  <si>
    <t>2025-04-08</t>
  </si>
  <si>
    <t>2024-09-20</t>
  </si>
  <si>
    <t>2024-09-05</t>
  </si>
  <si>
    <t>2025-04-23</t>
  </si>
  <si>
    <t>2025-02-05</t>
  </si>
  <si>
    <t>2024-02-18</t>
  </si>
  <si>
    <t>2024-01-28</t>
  </si>
  <si>
    <t>2025-01-07</t>
  </si>
  <si>
    <t>2024-05-07</t>
  </si>
  <si>
    <t>2025-03-17</t>
  </si>
  <si>
    <t>2024-11-29</t>
  </si>
  <si>
    <t>2025-04-19</t>
  </si>
  <si>
    <t>2025-04-07</t>
  </si>
  <si>
    <t>2024-01-02</t>
  </si>
  <si>
    <t>2024-12-22</t>
  </si>
  <si>
    <t>2024-04-07</t>
  </si>
  <si>
    <t>2024-10-23</t>
  </si>
  <si>
    <t>2024-06-09</t>
  </si>
  <si>
    <t>2024-09-01</t>
  </si>
  <si>
    <t>2025-05-06</t>
  </si>
  <si>
    <t>2024-02-05</t>
  </si>
  <si>
    <t>2025-04-27</t>
  </si>
  <si>
    <t>2024-10-31</t>
  </si>
  <si>
    <t>2024-12-02</t>
  </si>
  <si>
    <t>2024-04-14</t>
  </si>
  <si>
    <t>2024-07-21</t>
  </si>
  <si>
    <t>2024-06-10</t>
  </si>
  <si>
    <t>2024-11-14</t>
  </si>
  <si>
    <t>2024-10-02</t>
  </si>
  <si>
    <t>2025-04-22</t>
  </si>
  <si>
    <t>2024-07-08</t>
  </si>
  <si>
    <t>2025-03-02</t>
  </si>
  <si>
    <t>2025-02-17</t>
  </si>
  <si>
    <t>2025-02-22</t>
  </si>
  <si>
    <t>2024-02-23</t>
  </si>
  <si>
    <t>2025-03-31</t>
  </si>
  <si>
    <t>2024-05-24</t>
  </si>
  <si>
    <t>2024-06-24</t>
  </si>
  <si>
    <t>2024-09-07</t>
  </si>
  <si>
    <t>2024-11-20</t>
  </si>
  <si>
    <t>2024-05-14</t>
  </si>
  <si>
    <t>2024-12-27</t>
  </si>
  <si>
    <t>2024-02-08</t>
  </si>
  <si>
    <t>2024-03-06</t>
  </si>
  <si>
    <t>2024-12-15</t>
  </si>
  <si>
    <t>2025-02-03</t>
  </si>
  <si>
    <t>2025-01-18</t>
  </si>
  <si>
    <t>2025-05-14</t>
  </si>
  <si>
    <t>2024-04-01</t>
  </si>
  <si>
    <t>2024-12-08</t>
  </si>
  <si>
    <t>2025-02-07</t>
  </si>
  <si>
    <t>2025-03-15</t>
  </si>
  <si>
    <t>2025-02-24</t>
  </si>
  <si>
    <t>2024-12-03</t>
  </si>
  <si>
    <t>2024-05-22</t>
  </si>
  <si>
    <t>2025-03-07</t>
  </si>
  <si>
    <t>2024-02-29</t>
  </si>
  <si>
    <t>2025-05-07</t>
  </si>
  <si>
    <t>2024-11-01</t>
  </si>
  <si>
    <t>2025-02-06</t>
  </si>
  <si>
    <t>2024-09-18</t>
  </si>
  <si>
    <t>2024-08-11</t>
  </si>
  <si>
    <t>2024-08-08</t>
  </si>
  <si>
    <t>2024-06-07</t>
  </si>
  <si>
    <t>2024-08-03</t>
  </si>
  <si>
    <t>2024-10-18</t>
  </si>
  <si>
    <t>2024-04-17</t>
  </si>
  <si>
    <t>2024-08-14</t>
  </si>
  <si>
    <t>2024-08-30</t>
  </si>
  <si>
    <t>2025-02-23</t>
  </si>
  <si>
    <t>2025-02-16</t>
  </si>
  <si>
    <t>2024-01-24</t>
  </si>
  <si>
    <t>2025-03-11</t>
  </si>
  <si>
    <t>2024-05-04</t>
  </si>
  <si>
    <t>2024-03-31</t>
  </si>
  <si>
    <t>2024-10-12</t>
  </si>
  <si>
    <t>2024-03-09</t>
  </si>
  <si>
    <t>2025-04-01</t>
  </si>
  <si>
    <t>2025-04-09</t>
  </si>
  <si>
    <t>2025-01-15</t>
  </si>
  <si>
    <t>2025-01-19</t>
  </si>
  <si>
    <t>2025-02-02</t>
  </si>
  <si>
    <t>2024-05-02</t>
  </si>
  <si>
    <t>2024-12-31</t>
  </si>
  <si>
    <t>2024-06-20</t>
  </si>
  <si>
    <t>2024-03-18</t>
  </si>
  <si>
    <t>2024-03-19</t>
  </si>
  <si>
    <t>2024-07-27</t>
  </si>
  <si>
    <t>2024-02-01</t>
  </si>
  <si>
    <t>2024-10-21</t>
  </si>
  <si>
    <t>2024-07-18</t>
  </si>
  <si>
    <t>2024-01-15</t>
  </si>
  <si>
    <t>2024-12-13</t>
  </si>
  <si>
    <t>2025-04-15</t>
  </si>
  <si>
    <t>2024-10-30</t>
  </si>
  <si>
    <t>2024-11-25</t>
  </si>
  <si>
    <t>2024-04-03</t>
  </si>
  <si>
    <t>2024-06-16</t>
  </si>
  <si>
    <t>2024-06-21</t>
  </si>
  <si>
    <t>2025-05-02</t>
  </si>
  <si>
    <t>2024-02-11</t>
  </si>
  <si>
    <t>2024-10-03</t>
  </si>
  <si>
    <t>2024-11-28</t>
  </si>
  <si>
    <t>2024-01-16</t>
  </si>
  <si>
    <t>2024-03-05</t>
  </si>
  <si>
    <t>2025-04-30</t>
  </si>
  <si>
    <t>2024-05-11</t>
  </si>
  <si>
    <t>2024-11-06</t>
  </si>
  <si>
    <t>2024-02-25</t>
  </si>
  <si>
    <t>2024-10-16</t>
  </si>
  <si>
    <t>2024-08-07</t>
  </si>
  <si>
    <t>2024-11-27</t>
  </si>
  <si>
    <t>2025-02-25</t>
  </si>
  <si>
    <t>2024-09-24</t>
  </si>
  <si>
    <t>2025-03-12</t>
  </si>
  <si>
    <t>2025-03-27</t>
  </si>
  <si>
    <t>2024-08-25</t>
  </si>
  <si>
    <t>2024-09-06</t>
  </si>
  <si>
    <t>2024-05-12</t>
  </si>
  <si>
    <t>2024-12-25</t>
  </si>
  <si>
    <t>2025-01-03</t>
  </si>
  <si>
    <t>2025-01-23</t>
  </si>
  <si>
    <t>2024-12-30</t>
  </si>
  <si>
    <t>2024-01-09</t>
  </si>
  <si>
    <t>2024-07-26</t>
  </si>
  <si>
    <t>2024-10-24</t>
  </si>
  <si>
    <t>2024-09-28</t>
  </si>
  <si>
    <t>2024-10-08</t>
  </si>
  <si>
    <t>2024-04-28</t>
  </si>
  <si>
    <t>2024-03-02</t>
  </si>
  <si>
    <t>2024-10-28</t>
  </si>
  <si>
    <t>2024-07-03</t>
  </si>
  <si>
    <t>2024-12-28</t>
  </si>
  <si>
    <t>2025-04-28</t>
  </si>
  <si>
    <t>2025-03-22</t>
  </si>
  <si>
    <t>2024-09-02</t>
  </si>
  <si>
    <t>2025-05-09</t>
  </si>
  <si>
    <t>2024-02-28</t>
  </si>
  <si>
    <t>2024-02-07</t>
  </si>
  <si>
    <t>2024-03-17</t>
  </si>
  <si>
    <t>2024-06-01</t>
  </si>
  <si>
    <t>2024-04-18</t>
  </si>
  <si>
    <t>2024-04-29</t>
  </si>
  <si>
    <t>2024-01-31</t>
  </si>
  <si>
    <t>2024-03-04</t>
  </si>
  <si>
    <t>2024-07-25</t>
  </si>
  <si>
    <t>2025-01-11</t>
  </si>
  <si>
    <t>2024-02-16</t>
  </si>
  <si>
    <t>2024-12-10</t>
  </si>
  <si>
    <t>2025-01-22</t>
  </si>
  <si>
    <t>2024-08-28</t>
  </si>
  <si>
    <t>2024-06-13</t>
  </si>
  <si>
    <t>2024-07-29</t>
  </si>
  <si>
    <t>2024-02-15</t>
  </si>
  <si>
    <t>2024-01-27</t>
  </si>
  <si>
    <t>2024-03-08</t>
  </si>
  <si>
    <t>2024-11-07</t>
  </si>
  <si>
    <t>2024-10-09</t>
  </si>
  <si>
    <t>2024-04-25</t>
  </si>
  <si>
    <t>2024-05-29</t>
  </si>
  <si>
    <t>2025-03-03</t>
  </si>
  <si>
    <t>2024-08-21</t>
  </si>
  <si>
    <t>2024-05-21</t>
  </si>
  <si>
    <t>2025-01-06</t>
  </si>
  <si>
    <t>2024-08-16</t>
  </si>
  <si>
    <t>2024-06-19</t>
  </si>
  <si>
    <t>2025-03-14</t>
  </si>
  <si>
    <t>2025-01-16</t>
  </si>
  <si>
    <t>2024-12-05</t>
  </si>
  <si>
    <t>2025-03-23</t>
  </si>
  <si>
    <t>2025-04-11</t>
  </si>
  <si>
    <t>2024-03-14</t>
  </si>
  <si>
    <t>2024-12-20</t>
  </si>
  <si>
    <t>2024-11-16</t>
  </si>
  <si>
    <t>2025-01-17</t>
  </si>
  <si>
    <t>2025-01-24</t>
  </si>
  <si>
    <t>2024-12-21</t>
  </si>
  <si>
    <t>AgentID</t>
  </si>
  <si>
    <t>AgentName</t>
  </si>
  <si>
    <t>Region</t>
  </si>
  <si>
    <t>Ana Markovic</t>
  </si>
  <si>
    <t>East</t>
  </si>
  <si>
    <t>Jelena Petrovic</t>
  </si>
  <si>
    <t>Ivan Stankovic</t>
  </si>
  <si>
    <t>South</t>
  </si>
  <si>
    <t>Marko Jovic</t>
  </si>
  <si>
    <t>West</t>
  </si>
  <si>
    <t>Mina Lukic</t>
  </si>
  <si>
    <t>TransactionID</t>
  </si>
  <si>
    <t>SalePrice</t>
  </si>
  <si>
    <t>Status</t>
  </si>
  <si>
    <t>SaleDate</t>
  </si>
  <si>
    <t>Pending</t>
  </si>
  <si>
    <t>Cancelled</t>
  </si>
  <si>
    <t>2024-11-23</t>
  </si>
  <si>
    <t>Sold</t>
  </si>
  <si>
    <t>2024-07-14</t>
  </si>
  <si>
    <t>2024-12-24</t>
  </si>
  <si>
    <t>2024-01-18</t>
  </si>
  <si>
    <t>2024-03-30</t>
  </si>
  <si>
    <t>2025-02-15</t>
  </si>
  <si>
    <t>2024-08-29</t>
  </si>
  <si>
    <t>2025-04-13</t>
  </si>
  <si>
    <t>2025-04-10</t>
  </si>
  <si>
    <t>2024-02-19</t>
  </si>
  <si>
    <t>2025-04-25</t>
  </si>
  <si>
    <t>2024-02-20</t>
  </si>
  <si>
    <t>2024-10-27</t>
  </si>
  <si>
    <t>2025-01-14</t>
  </si>
  <si>
    <t>2024-08-19</t>
  </si>
  <si>
    <t>2024-09-08</t>
  </si>
  <si>
    <t>2024-11-15</t>
  </si>
  <si>
    <t>2025-03-30</t>
  </si>
  <si>
    <t>2024-07-23</t>
  </si>
  <si>
    <t>2024-02-04</t>
  </si>
  <si>
    <t>2025-05-10</t>
  </si>
  <si>
    <t>2025-03-08</t>
  </si>
  <si>
    <t>2024-10-20</t>
  </si>
  <si>
    <t>2024-04-02</t>
  </si>
  <si>
    <t>2024-07-11</t>
  </si>
  <si>
    <t>2025-03-28</t>
  </si>
  <si>
    <t>2024-12-11</t>
  </si>
  <si>
    <t>2024-02-26</t>
  </si>
  <si>
    <t>2024-01-04</t>
  </si>
  <si>
    <t>2025-01-26</t>
  </si>
  <si>
    <t>2024-02-06</t>
  </si>
  <si>
    <t>2025-03-01</t>
  </si>
  <si>
    <t>2025-03-18</t>
  </si>
  <si>
    <t>2024-06-29</t>
  </si>
  <si>
    <t>2024-02-09</t>
  </si>
  <si>
    <t>2024-07-15</t>
  </si>
  <si>
    <t>2024-08-18</t>
  </si>
  <si>
    <t>2024-09-13</t>
  </si>
  <si>
    <t>2025-02-19</t>
  </si>
  <si>
    <t>2024-01-21</t>
  </si>
  <si>
    <t>2024-07-05</t>
  </si>
  <si>
    <t>2025-01-31</t>
  </si>
  <si>
    <t>2024-05-25</t>
  </si>
  <si>
    <t>2025-02-20</t>
  </si>
  <si>
    <t>2024-09-17</t>
  </si>
  <si>
    <t>2024-12-04</t>
  </si>
  <si>
    <t>2025-01-04</t>
  </si>
  <si>
    <t>2024-12-12</t>
  </si>
  <si>
    <t>2025-01-20</t>
  </si>
  <si>
    <t>2024-08-24</t>
  </si>
  <si>
    <t>2025-04-29</t>
  </si>
  <si>
    <t>2024-07-31</t>
  </si>
  <si>
    <t>2024-04-30</t>
  </si>
  <si>
    <t>2025-02-09</t>
  </si>
  <si>
    <t>2025-04-14</t>
  </si>
  <si>
    <t>2024-01-25</t>
  </si>
  <si>
    <t>2024-05-03</t>
  </si>
  <si>
    <t>2024-09-25</t>
  </si>
  <si>
    <t>2024-06-25</t>
  </si>
  <si>
    <t>2024-01-19</t>
  </si>
  <si>
    <t>2025-02-21</t>
  </si>
  <si>
    <t>2025-05-13</t>
  </si>
  <si>
    <t>2024-07-07</t>
  </si>
  <si>
    <t>2024-06-05</t>
  </si>
  <si>
    <t>2024-03-26</t>
  </si>
  <si>
    <t>2025-03-10</t>
  </si>
  <si>
    <t>2024-08-15</t>
  </si>
  <si>
    <t>2024-07-22</t>
  </si>
  <si>
    <t>2024-01-14</t>
  </si>
  <si>
    <t>2024-12-26</t>
  </si>
  <si>
    <t>2024-02-14</t>
  </si>
  <si>
    <t>2024-03-03</t>
  </si>
  <si>
    <t>2024-09-26</t>
  </si>
  <si>
    <t>2024-12-14</t>
  </si>
  <si>
    <t>2025-01-28</t>
  </si>
  <si>
    <t>2024-03-25</t>
  </si>
  <si>
    <t>2024-06-26</t>
  </si>
  <si>
    <t>2024-04-10</t>
  </si>
  <si>
    <t>2024-11-10</t>
  </si>
  <si>
    <t>2025-01-27</t>
  </si>
  <si>
    <t>2024-09-11</t>
  </si>
  <si>
    <t>2024-09-04</t>
  </si>
  <si>
    <t>2024-06-12</t>
  </si>
  <si>
    <t>2024-05-28</t>
  </si>
  <si>
    <t>2024-09-12</t>
  </si>
  <si>
    <t>2024-05-26</t>
  </si>
  <si>
    <t>2024-07-04</t>
  </si>
  <si>
    <t>2024-09-15</t>
  </si>
  <si>
    <t>2024-07-24</t>
  </si>
  <si>
    <t>2024-03-11</t>
  </si>
  <si>
    <t>2024-03-24</t>
  </si>
  <si>
    <t>2025-02-11</t>
  </si>
  <si>
    <t>2024-10-25</t>
  </si>
  <si>
    <t>2024-03-16</t>
  </si>
  <si>
    <t>2024-09-22</t>
  </si>
  <si>
    <t>2025-05-05</t>
  </si>
  <si>
    <t>2024-12-19</t>
  </si>
  <si>
    <t>2024-10-13</t>
  </si>
  <si>
    <t>2025-04-03</t>
  </si>
  <si>
    <t>2024-01-22</t>
  </si>
  <si>
    <t>2025-02-27</t>
  </si>
  <si>
    <t>2024-02-21</t>
  </si>
  <si>
    <t>2025-03-04</t>
  </si>
  <si>
    <t>2025-03-24</t>
  </si>
  <si>
    <t>2025-02-08</t>
  </si>
  <si>
    <t>2024-06-03</t>
  </si>
  <si>
    <t>2024-11-30</t>
  </si>
  <si>
    <t>2024-08-26</t>
  </si>
  <si>
    <t>2025-04-17</t>
  </si>
  <si>
    <t>2025-01-25</t>
  </si>
  <si>
    <t>2025-05-15</t>
  </si>
  <si>
    <t>2024-04-15</t>
  </si>
  <si>
    <t>2024-05-01</t>
  </si>
  <si>
    <t>2024-07-30</t>
  </si>
  <si>
    <t>2025-05-12</t>
  </si>
  <si>
    <t>2024-07-17</t>
  </si>
  <si>
    <t>2024-10-01</t>
  </si>
  <si>
    <t>2024-06-06</t>
  </si>
  <si>
    <t>2024-05-31</t>
  </si>
  <si>
    <t>2025-01-10</t>
  </si>
  <si>
    <t>2024-04-04</t>
  </si>
  <si>
    <t>2025-03-05</t>
  </si>
  <si>
    <t>2024-01-05</t>
  </si>
  <si>
    <t>2024-09-14</t>
  </si>
  <si>
    <t>2024-07-12</t>
  </si>
  <si>
    <t>2024-11-26</t>
  </si>
  <si>
    <t>2024-04-27</t>
  </si>
  <si>
    <t>2024-10-15</t>
  </si>
  <si>
    <t>2024-06-23</t>
  </si>
  <si>
    <t>2024-10-10</t>
  </si>
  <si>
    <t>2024-02-13</t>
  </si>
  <si>
    <t>2024-02-12</t>
  </si>
  <si>
    <t>2025-01-13</t>
  </si>
  <si>
    <t>2024-04-05</t>
  </si>
  <si>
    <t>2024-12-16</t>
  </si>
  <si>
    <t>2024-10-05</t>
  </si>
  <si>
    <t>2024-01-06</t>
  </si>
  <si>
    <t>2024-06-27</t>
  </si>
  <si>
    <t>2024-09-23</t>
  </si>
  <si>
    <t>2024-08-12</t>
  </si>
  <si>
    <t>2024-01-23</t>
  </si>
  <si>
    <t>2025-02-13</t>
  </si>
  <si>
    <t>2024-11-12</t>
  </si>
  <si>
    <t>2024-11-21</t>
  </si>
  <si>
    <t>2024-07-28</t>
  </si>
  <si>
    <t>2024-10-04</t>
  </si>
  <si>
    <t>2024-08-05</t>
  </si>
  <si>
    <t>2025-02-28</t>
  </si>
  <si>
    <t>2024-10-22</t>
  </si>
  <si>
    <t>2024-12-06</t>
  </si>
  <si>
    <t>2024-11-08</t>
  </si>
  <si>
    <t>2024-06-28</t>
  </si>
  <si>
    <t>2024-04-06</t>
  </si>
  <si>
    <t>2024-07-06</t>
  </si>
  <si>
    <t>2025-04-16</t>
  </si>
  <si>
    <t>2024-07-19</t>
  </si>
  <si>
    <t>2025-04-18</t>
  </si>
  <si>
    <t>2024-05-05</t>
  </si>
  <si>
    <t>2024-04-24</t>
  </si>
  <si>
    <t>2024-05-18</t>
  </si>
  <si>
    <t>2025-01-30</t>
  </si>
  <si>
    <t>2024-08-02</t>
  </si>
  <si>
    <t>2024-02-17</t>
  </si>
  <si>
    <t>2024-03-20</t>
  </si>
  <si>
    <t>2025-05-08</t>
  </si>
  <si>
    <t>2024-05-15</t>
  </si>
  <si>
    <t>Sold Transactions</t>
  </si>
  <si>
    <t>Properties in Becej</t>
  </si>
  <si>
    <t>Total Sales for status "Sold"</t>
  </si>
  <si>
    <t>Sales for AgentID = 3</t>
  </si>
  <si>
    <t>Sales for City = Belgrade</t>
  </si>
  <si>
    <t>Pending for AgentID = 5</t>
  </si>
  <si>
    <t>Agent Name</t>
  </si>
  <si>
    <t>Sum of SalePrice</t>
  </si>
  <si>
    <t>Row Labels</t>
  </si>
  <si>
    <t>Grand Total</t>
  </si>
  <si>
    <t>Month</t>
  </si>
  <si>
    <t>2024-01</t>
  </si>
  <si>
    <t>2024-02</t>
  </si>
  <si>
    <t>2024-03</t>
  </si>
  <si>
    <t>2024-04</t>
  </si>
  <si>
    <t>2024-05</t>
  </si>
  <si>
    <t>2024-06</t>
  </si>
  <si>
    <t>2024-07</t>
  </si>
  <si>
    <t>2024-08</t>
  </si>
  <si>
    <t>2024-09</t>
  </si>
  <si>
    <t>2024-10</t>
  </si>
  <si>
    <t>2024-11</t>
  </si>
  <si>
    <t>2024-12</t>
  </si>
  <si>
    <t>2025-01</t>
  </si>
  <si>
    <t>2025-02</t>
  </si>
  <si>
    <t>2025-03</t>
  </si>
  <si>
    <t>2025-04</t>
  </si>
  <si>
    <t>2025-05</t>
  </si>
  <si>
    <t>Performance</t>
  </si>
  <si>
    <t>Commission Level</t>
  </si>
  <si>
    <t>Priority Deal</t>
  </si>
  <si>
    <t>Attention Needed</t>
  </si>
  <si>
    <t>Listing Price</t>
  </si>
  <si>
    <t>Average of SalePrice</t>
  </si>
  <si>
    <t>Max of SalePrice</t>
  </si>
  <si>
    <t>Count of Status</t>
  </si>
  <si>
    <t>(All)</t>
  </si>
  <si>
    <t>Count of PropertyID</t>
  </si>
  <si>
    <t>Count of PropertyID2</t>
  </si>
  <si>
    <t>Standard</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</si>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</sst>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00\ [$€-1]"/>
    <numFmt numFmtId="165" formatCode="&quot;$&quot;#,##0.00"/>
  </numFmts>
  <fonts count="3" x14ac:knownFonts="1">
    <font>
      <sz val="11"/>
      <color theme="1"/>
      <name val="Calibri"/>
      <family val="2"/>
      <scheme val="minor"/>
    </font>
    <font>
      <sz val="11"/>
      <color theme="1"/>
      <name val="Calibri"/>
      <family val="2"/>
      <scheme val="minor"/>
    </font>
    <font>
      <b/>
      <sz val="22"/>
      <color theme="9" tint="0.79998168889431442"/>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9" tint="-0.499984740745262"/>
        <bgColor indexed="64"/>
      </patternFill>
    </fill>
  </fills>
  <borders count="3">
    <border>
      <left/>
      <right/>
      <top/>
      <bottom/>
      <diagonal/>
    </border>
    <border>
      <left/>
      <right/>
      <top style="thin">
        <color theme="8" tint="0.79998168889431442"/>
      </top>
      <bottom/>
      <diagonal/>
    </border>
    <border>
      <left/>
      <right/>
      <top/>
      <bottom style="double">
        <color theme="8" tint="0.79998168889431442"/>
      </bottom>
      <diagonal/>
    </border>
  </borders>
  <cellStyleXfs count="2">
    <xf numFmtId="0" fontId="0" fillId="0" borderId="0"/>
    <xf numFmtId="44" fontId="1" fillId="0" borderId="0" applyFont="0" applyFill="0" applyBorder="0" applyAlignment="0" applyProtection="0"/>
  </cellStyleXfs>
  <cellXfs count="13">
    <xf numFmtId="0" fontId="0" fillId="0" borderId="0" xfId="0"/>
    <xf numFmtId="14" fontId="0" fillId="0" borderId="0" xfId="0" applyNumberFormat="1"/>
    <xf numFmtId="164" fontId="0" fillId="0" borderId="0" xfId="1" applyNumberFormat="1" applyFont="1"/>
    <xf numFmtId="164" fontId="0" fillId="0" borderId="0" xfId="0" applyNumberForma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2" borderId="0" xfId="0" applyFill="1"/>
    <xf numFmtId="9" fontId="0" fillId="0" borderId="0" xfId="0" applyNumberFormat="1"/>
    <xf numFmtId="0" fontId="0" fillId="3" borderId="0" xfId="0" applyFill="1"/>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cellXfs>
  <cellStyles count="2">
    <cellStyle name="Currency" xfId="1" builtinId="4"/>
    <cellStyle name="Normal" xfId="0" builtinId="0"/>
  </cellStyles>
  <dxfs count="495">
    <dxf>
      <numFmt numFmtId="165" formatCode="&quot;$&quot;#,##0.00"/>
    </dxf>
    <dxf>
      <numFmt numFmtId="165" formatCode="&quot;$&quot;#,##0.00"/>
    </dxf>
    <dxf>
      <numFmt numFmtId="164" formatCode="#,##0.00\ [$€-1]"/>
    </dxf>
    <dxf>
      <numFmt numFmtId="14" formatCode="0.00%"/>
    </dxf>
    <dxf>
      <numFmt numFmtId="13" formatCode="0%"/>
    </dxf>
    <dxf>
      <numFmt numFmtId="13" formatCode="0%"/>
    </dxf>
    <dxf>
      <numFmt numFmtId="164" formatCode="#,##0.00\ [$€-1]"/>
    </dxf>
    <dxf>
      <numFmt numFmtId="0" formatCode="General"/>
    </dxf>
    <dxf>
      <numFmt numFmtId="164" formatCode="#,##0.00\ [$€-1]"/>
    </dxf>
    <dxf>
      <numFmt numFmtId="164" formatCode="#,##0.00\ [$€-1]"/>
    </dxf>
    <dxf>
      <numFmt numFmtId="164" formatCode="#,##0.00\ [$€-1]"/>
    </dxf>
    <dxf>
      <numFmt numFmtId="164" formatCode="#,##0.00\ [$€-1]"/>
    </dxf>
    <dxf>
      <numFmt numFmtId="165" formatCode="&quot;$&quot;#,##0.00"/>
    </dxf>
    <dxf>
      <numFmt numFmtId="165" formatCode="&quot;$&quot;#,##0.00"/>
    </dxf>
    <dxf>
      <numFmt numFmtId="164" formatCode="#,##0.00\ [$€-1]"/>
    </dxf>
    <dxf>
      <numFmt numFmtId="164" formatCode="#,##0.00\ [$€-1]"/>
    </dxf>
    <dxf>
      <numFmt numFmtId="164" formatCode="#,##0.00\ [$€-1]"/>
    </dxf>
    <dxf>
      <numFmt numFmtId="164" formatCode="#,##0.00\ [$€-1]"/>
    </dxf>
    <dxf>
      <numFmt numFmtId="164" formatCode="#,##0.00\ [$€-1]"/>
    </dxf>
    <dxf>
      <numFmt numFmtId="165" formatCode="&quot;$&quot;#,##0.00"/>
    </dxf>
    <dxf>
      <numFmt numFmtId="165" formatCode="&quot;$&quot;#,##0.00"/>
    </dxf>
    <dxf>
      <numFmt numFmtId="164" formatCode="#,##0.00\ [$€-1]"/>
    </dxf>
    <dxf>
      <numFmt numFmtId="14" formatCode="0.00%"/>
    </dxf>
    <dxf>
      <numFmt numFmtId="13" formatCode="0%"/>
    </dxf>
    <dxf>
      <numFmt numFmtId="13" formatCode="0%"/>
    </dxf>
    <dxf>
      <numFmt numFmtId="164" formatCode="#,##0.00\ [$€-1]"/>
    </dxf>
    <dxf>
      <numFmt numFmtId="0" formatCode="General"/>
    </dxf>
    <dxf>
      <numFmt numFmtId="164" formatCode="#,##0.00\ [$€-1]"/>
    </dxf>
    <dxf>
      <numFmt numFmtId="164" formatCode="#,##0.00\ [$€-1]"/>
    </dxf>
    <dxf>
      <numFmt numFmtId="164" formatCode="#,##0.00\ [$€-1]"/>
    </dxf>
    <dxf>
      <numFmt numFmtId="164" formatCode="#,##0.00\ [$€-1]"/>
    </dxf>
    <dxf>
      <numFmt numFmtId="165" formatCode="&quot;$&quot;#,##0.00"/>
    </dxf>
    <dxf>
      <numFmt numFmtId="165" formatCode="&quot;$&quot;#,##0.00"/>
    </dxf>
    <dxf>
      <numFmt numFmtId="164" formatCode="#,##0.00\ [$€-1]"/>
    </dxf>
    <dxf>
      <numFmt numFmtId="164" formatCode="#,##0.00\ [$€-1]"/>
    </dxf>
    <dxf>
      <numFmt numFmtId="164" formatCode="#,##0.00\ [$€-1]"/>
    </dxf>
    <dxf>
      <numFmt numFmtId="164" formatCode="#,##0.00\ [$€-1]"/>
    </dxf>
    <dxf>
      <numFmt numFmtId="164" formatCode="#,##0.00\ [$€-1]"/>
    </dxf>
    <dxf>
      <numFmt numFmtId="165" formatCode="&quot;$&quot;#,##0.00"/>
    </dxf>
    <dxf>
      <numFmt numFmtId="165" formatCode="&quot;$&quot;#,##0.00"/>
    </dxf>
    <dxf>
      <numFmt numFmtId="164" formatCode="#,##0.00\ [$€-1]"/>
    </dxf>
    <dxf>
      <numFmt numFmtId="14" formatCode="0.00%"/>
    </dxf>
    <dxf>
      <numFmt numFmtId="13" formatCode="0%"/>
    </dxf>
    <dxf>
      <numFmt numFmtId="13" formatCode="0%"/>
    </dxf>
    <dxf>
      <numFmt numFmtId="164" formatCode="#,##0.00\ [$€-1]"/>
    </dxf>
    <dxf>
      <numFmt numFmtId="0" formatCode="General"/>
    </dxf>
    <dxf>
      <numFmt numFmtId="164" formatCode="#,##0.00\ [$€-1]"/>
    </dxf>
    <dxf>
      <numFmt numFmtId="164" formatCode="#,##0.00\ [$€-1]"/>
    </dxf>
    <dxf>
      <numFmt numFmtId="164" formatCode="#,##0.00\ [$€-1]"/>
    </dxf>
    <dxf>
      <numFmt numFmtId="164" formatCode="#,##0.00\ [$€-1]"/>
    </dxf>
    <dxf>
      <numFmt numFmtId="165" formatCode="&quot;$&quot;#,##0.00"/>
    </dxf>
    <dxf>
      <numFmt numFmtId="165" formatCode="&quot;$&quot;#,##0.00"/>
    </dxf>
    <dxf>
      <numFmt numFmtId="164" formatCode="#,##0.00\ [$€-1]"/>
    </dxf>
    <dxf>
      <numFmt numFmtId="164" formatCode="#,##0.00\ [$€-1]"/>
    </dxf>
    <dxf>
      <numFmt numFmtId="164" formatCode="#,##0.00\ [$€-1]"/>
    </dxf>
    <dxf>
      <numFmt numFmtId="164" formatCode="#,##0.00\ [$€-1]"/>
    </dxf>
    <dxf>
      <numFmt numFmtId="164" formatCode="#,##0.00\ [$€-1]"/>
    </dxf>
    <dxf>
      <numFmt numFmtId="165" formatCode="&quot;$&quot;#,##0.00"/>
    </dxf>
    <dxf>
      <numFmt numFmtId="165" formatCode="&quot;$&quot;#,##0.00"/>
    </dxf>
    <dxf>
      <numFmt numFmtId="164" formatCode="#,##0.00\ [$€-1]"/>
    </dxf>
    <dxf>
      <numFmt numFmtId="14" formatCode="0.00%"/>
    </dxf>
    <dxf>
      <numFmt numFmtId="13" formatCode="0%"/>
    </dxf>
    <dxf>
      <numFmt numFmtId="13" formatCode="0%"/>
    </dxf>
    <dxf>
      <numFmt numFmtId="164" formatCode="#,##0.00\ [$€-1]"/>
    </dxf>
    <dxf>
      <numFmt numFmtId="0" formatCode="General"/>
    </dxf>
    <dxf>
      <numFmt numFmtId="164" formatCode="#,##0.00\ [$€-1]"/>
    </dxf>
    <dxf>
      <numFmt numFmtId="164" formatCode="#,##0.00\ [$€-1]"/>
    </dxf>
    <dxf>
      <numFmt numFmtId="164" formatCode="#,##0.00\ [$€-1]"/>
    </dxf>
    <dxf>
      <numFmt numFmtId="164" formatCode="#,##0.00\ [$€-1]"/>
    </dxf>
    <dxf>
      <numFmt numFmtId="165" formatCode="&quot;$&quot;#,##0.00"/>
    </dxf>
    <dxf>
      <numFmt numFmtId="165" formatCode="&quot;$&quot;#,##0.00"/>
    </dxf>
    <dxf>
      <numFmt numFmtId="164" formatCode="#,##0.00\ [$€-1]"/>
    </dxf>
    <dxf>
      <numFmt numFmtId="164" formatCode="#,##0.00\ [$€-1]"/>
    </dxf>
    <dxf>
      <numFmt numFmtId="164" formatCode="#,##0.00\ [$€-1]"/>
    </dxf>
    <dxf>
      <numFmt numFmtId="164" formatCode="#,##0.00\ [$€-1]"/>
    </dxf>
    <dxf>
      <numFmt numFmtId="164" formatCode="#,##0.00\ [$€-1]"/>
    </dxf>
    <dxf>
      <numFmt numFmtId="165" formatCode="&quot;$&quot;#,##0.00"/>
    </dxf>
    <dxf>
      <numFmt numFmtId="165" formatCode="&quot;$&quot;#,##0.00"/>
    </dxf>
    <dxf>
      <numFmt numFmtId="164" formatCode="#,##0.00\ [$€-1]"/>
    </dxf>
    <dxf>
      <numFmt numFmtId="14" formatCode="0.00%"/>
    </dxf>
    <dxf>
      <numFmt numFmtId="13" formatCode="0%"/>
    </dxf>
    <dxf>
      <numFmt numFmtId="13" formatCode="0%"/>
    </dxf>
    <dxf>
      <numFmt numFmtId="164" formatCode="#,##0.00\ [$€-1]"/>
    </dxf>
    <dxf>
      <numFmt numFmtId="0" formatCode="General"/>
    </dxf>
    <dxf>
      <numFmt numFmtId="164" formatCode="#,##0.00\ [$€-1]"/>
    </dxf>
    <dxf>
      <numFmt numFmtId="164" formatCode="#,##0.00\ [$€-1]"/>
    </dxf>
    <dxf>
      <numFmt numFmtId="164" formatCode="#,##0.00\ [$€-1]"/>
    </dxf>
    <dxf>
      <numFmt numFmtId="164" formatCode="#,##0.00\ [$€-1]"/>
    </dxf>
    <dxf>
      <numFmt numFmtId="165" formatCode="&quot;$&quot;#,##0.00"/>
    </dxf>
    <dxf>
      <numFmt numFmtId="165" formatCode="&quot;$&quot;#,##0.00"/>
    </dxf>
    <dxf>
      <numFmt numFmtId="164" formatCode="#,##0.00\ [$€-1]"/>
    </dxf>
    <dxf>
      <numFmt numFmtId="164" formatCode="#,##0.00\ [$€-1]"/>
    </dxf>
    <dxf>
      <numFmt numFmtId="164" formatCode="#,##0.00\ [$€-1]"/>
    </dxf>
    <dxf>
      <numFmt numFmtId="164" formatCode="#,##0.00\ [$€-1]"/>
    </dxf>
    <dxf>
      <numFmt numFmtId="164" formatCode="#,##0.00\ [$€-1]"/>
    </dxf>
    <dxf>
      <numFmt numFmtId="165" formatCode="&quot;$&quot;#,##0.00"/>
    </dxf>
    <dxf>
      <numFmt numFmtId="165" formatCode="&quot;$&quot;#,##0.00"/>
    </dxf>
    <dxf>
      <numFmt numFmtId="164" formatCode="#,##0.00\ [$€-1]"/>
    </dxf>
    <dxf>
      <numFmt numFmtId="14" formatCode="0.00%"/>
    </dxf>
    <dxf>
      <numFmt numFmtId="13" formatCode="0%"/>
    </dxf>
    <dxf>
      <numFmt numFmtId="13" formatCode="0%"/>
    </dxf>
    <dxf>
      <numFmt numFmtId="164" formatCode="#,##0.00\ [$€-1]"/>
    </dxf>
    <dxf>
      <numFmt numFmtId="0" formatCode="General"/>
    </dxf>
    <dxf>
      <numFmt numFmtId="164" formatCode="#,##0.00\ [$€-1]"/>
    </dxf>
    <dxf>
      <numFmt numFmtId="164" formatCode="#,##0.00\ [$€-1]"/>
    </dxf>
    <dxf>
      <numFmt numFmtId="164" formatCode="#,##0.00\ [$€-1]"/>
    </dxf>
    <dxf>
      <numFmt numFmtId="164" formatCode="#,##0.00\ [$€-1]"/>
    </dxf>
    <dxf>
      <numFmt numFmtId="165" formatCode="&quot;$&quot;#,##0.00"/>
    </dxf>
    <dxf>
      <numFmt numFmtId="165" formatCode="&quot;$&quot;#,##0.00"/>
    </dxf>
    <dxf>
      <numFmt numFmtId="164" formatCode="#,##0.00\ [$€-1]"/>
    </dxf>
    <dxf>
      <numFmt numFmtId="164" formatCode="#,##0.00\ [$€-1]"/>
    </dxf>
    <dxf>
      <numFmt numFmtId="164" formatCode="#,##0.00\ [$€-1]"/>
    </dxf>
    <dxf>
      <numFmt numFmtId="164" formatCode="#,##0.00\ [$€-1]"/>
    </dxf>
    <dxf>
      <numFmt numFmtId="164" formatCode="#,##0.00\ [$€-1]"/>
    </dxf>
    <dxf>
      <numFmt numFmtId="165" formatCode="&quot;$&quot;#,##0.00"/>
    </dxf>
    <dxf>
      <numFmt numFmtId="165" formatCode="&quot;$&quot;#,##0.00"/>
    </dxf>
    <dxf>
      <numFmt numFmtId="164" formatCode="#,##0.00\ [$€-1]"/>
    </dxf>
    <dxf>
      <numFmt numFmtId="14" formatCode="0.00%"/>
    </dxf>
    <dxf>
      <numFmt numFmtId="13" formatCode="0%"/>
    </dxf>
    <dxf>
      <numFmt numFmtId="13" formatCode="0%"/>
    </dxf>
    <dxf>
      <numFmt numFmtId="164" formatCode="#,##0.00\ [$€-1]"/>
    </dxf>
    <dxf>
      <numFmt numFmtId="0" formatCode="General"/>
    </dxf>
    <dxf>
      <numFmt numFmtId="164" formatCode="#,##0.00\ [$€-1]"/>
    </dxf>
    <dxf>
      <numFmt numFmtId="164" formatCode="#,##0.00\ [$€-1]"/>
    </dxf>
    <dxf>
      <numFmt numFmtId="164" formatCode="#,##0.00\ [$€-1]"/>
    </dxf>
    <dxf>
      <numFmt numFmtId="164" formatCode="#,##0.00\ [$€-1]"/>
    </dxf>
    <dxf>
      <numFmt numFmtId="165" formatCode="&quot;$&quot;#,##0.00"/>
    </dxf>
    <dxf>
      <numFmt numFmtId="165" formatCode="&quot;$&quot;#,##0.00"/>
    </dxf>
    <dxf>
      <numFmt numFmtId="164" formatCode="#,##0.00\ [$€-1]"/>
    </dxf>
    <dxf>
      <numFmt numFmtId="164" formatCode="#,##0.00\ [$€-1]"/>
    </dxf>
    <dxf>
      <numFmt numFmtId="164" formatCode="#,##0.00\ [$€-1]"/>
    </dxf>
    <dxf>
      <numFmt numFmtId="164" formatCode="#,##0.00\ [$€-1]"/>
    </dxf>
    <dxf>
      <numFmt numFmtId="164" formatCode="#,##0.00\ [$€-1]"/>
    </dxf>
    <dxf>
      <numFmt numFmtId="165" formatCode="&quot;$&quot;#,##0.00"/>
    </dxf>
    <dxf>
      <numFmt numFmtId="165" formatCode="&quot;$&quot;#,##0.00"/>
    </dxf>
    <dxf>
      <numFmt numFmtId="164" formatCode="#,##0.00\ [$€-1]"/>
    </dxf>
    <dxf>
      <numFmt numFmtId="14" formatCode="0.00%"/>
    </dxf>
    <dxf>
      <numFmt numFmtId="13" formatCode="0%"/>
    </dxf>
    <dxf>
      <numFmt numFmtId="13" formatCode="0%"/>
    </dxf>
    <dxf>
      <numFmt numFmtId="164" formatCode="#,##0.00\ [$€-1]"/>
    </dxf>
    <dxf>
      <numFmt numFmtId="0" formatCode="General"/>
    </dxf>
    <dxf>
      <numFmt numFmtId="164" formatCode="#,##0.00\ [$€-1]"/>
    </dxf>
    <dxf>
      <numFmt numFmtId="164" formatCode="#,##0.00\ [$€-1]"/>
    </dxf>
    <dxf>
      <numFmt numFmtId="164" formatCode="#,##0.00\ [$€-1]"/>
    </dxf>
    <dxf>
      <numFmt numFmtId="164" formatCode="#,##0.00\ [$€-1]"/>
    </dxf>
    <dxf>
      <numFmt numFmtId="165" formatCode="&quot;$&quot;#,##0.00"/>
    </dxf>
    <dxf>
      <numFmt numFmtId="165" formatCode="&quot;$&quot;#,##0.00"/>
    </dxf>
    <dxf>
      <numFmt numFmtId="164" formatCode="#,##0.00\ [$€-1]"/>
    </dxf>
    <dxf>
      <numFmt numFmtId="164" formatCode="#,##0.00\ [$€-1]"/>
    </dxf>
    <dxf>
      <numFmt numFmtId="164" formatCode="#,##0.00\ [$€-1]"/>
    </dxf>
    <dxf>
      <numFmt numFmtId="164" formatCode="#,##0.00\ [$€-1]"/>
    </dxf>
    <dxf>
      <numFmt numFmtId="164" formatCode="#,##0.00\ [$€-1]"/>
    </dxf>
    <dxf>
      <numFmt numFmtId="165" formatCode="&quot;$&quot;#,##0.00"/>
    </dxf>
    <dxf>
      <numFmt numFmtId="165" formatCode="&quot;$&quot;#,##0.00"/>
    </dxf>
    <dxf>
      <numFmt numFmtId="164" formatCode="#,##0.00\ [$€-1]"/>
    </dxf>
    <dxf>
      <numFmt numFmtId="14" formatCode="0.00%"/>
    </dxf>
    <dxf>
      <numFmt numFmtId="13" formatCode="0%"/>
    </dxf>
    <dxf>
      <numFmt numFmtId="13" formatCode="0%"/>
    </dxf>
    <dxf>
      <numFmt numFmtId="164" formatCode="#,##0.00\ [$€-1]"/>
    </dxf>
    <dxf>
      <numFmt numFmtId="0" formatCode="General"/>
    </dxf>
    <dxf>
      <numFmt numFmtId="164" formatCode="#,##0.00\ [$€-1]"/>
    </dxf>
    <dxf>
      <numFmt numFmtId="164" formatCode="#,##0.00\ [$€-1]"/>
    </dxf>
    <dxf>
      <numFmt numFmtId="164" formatCode="#,##0.00\ [$€-1]"/>
    </dxf>
    <dxf>
      <numFmt numFmtId="164" formatCode="#,##0.00\ [$€-1]"/>
    </dxf>
    <dxf>
      <numFmt numFmtId="165" formatCode="&quot;$&quot;#,##0.00"/>
    </dxf>
    <dxf>
      <numFmt numFmtId="165" formatCode="&quot;$&quot;#,##0.00"/>
    </dxf>
    <dxf>
      <numFmt numFmtId="164" formatCode="#,##0.00\ [$€-1]"/>
    </dxf>
    <dxf>
      <numFmt numFmtId="164" formatCode="#,##0.00\ [$€-1]"/>
    </dxf>
    <dxf>
      <numFmt numFmtId="164" formatCode="#,##0.00\ [$€-1]"/>
    </dxf>
    <dxf>
      <numFmt numFmtId="164" formatCode="#,##0.00\ [$€-1]"/>
    </dxf>
    <dxf>
      <numFmt numFmtId="164" formatCode="#,##0.00\ [$€-1]"/>
    </dxf>
    <dxf>
      <numFmt numFmtId="165" formatCode="&quot;$&quot;#,##0.00"/>
    </dxf>
    <dxf>
      <numFmt numFmtId="165" formatCode="&quot;$&quot;#,##0.00"/>
    </dxf>
    <dxf>
      <numFmt numFmtId="164" formatCode="#,##0.00\ [$€-1]"/>
    </dxf>
    <dxf>
      <numFmt numFmtId="14" formatCode="0.00%"/>
    </dxf>
    <dxf>
      <numFmt numFmtId="13" formatCode="0%"/>
    </dxf>
    <dxf>
      <numFmt numFmtId="13" formatCode="0%"/>
    </dxf>
    <dxf>
      <numFmt numFmtId="164" formatCode="#,##0.00\ [$€-1]"/>
    </dxf>
    <dxf>
      <numFmt numFmtId="0" formatCode="General"/>
    </dxf>
    <dxf>
      <numFmt numFmtId="164" formatCode="#,##0.00\ [$€-1]"/>
    </dxf>
    <dxf>
      <numFmt numFmtId="164" formatCode="#,##0.00\ [$€-1]"/>
    </dxf>
    <dxf>
      <numFmt numFmtId="164" formatCode="#,##0.00\ [$€-1]"/>
    </dxf>
    <dxf>
      <numFmt numFmtId="164" formatCode="#,##0.00\ [$€-1]"/>
    </dxf>
    <dxf>
      <numFmt numFmtId="165" formatCode="&quot;$&quot;#,##0.00"/>
    </dxf>
    <dxf>
      <numFmt numFmtId="165" formatCode="&quot;$&quot;#,##0.00"/>
    </dxf>
    <dxf>
      <numFmt numFmtId="164" formatCode="#,##0.00\ [$€-1]"/>
    </dxf>
    <dxf>
      <numFmt numFmtId="164" formatCode="#,##0.00\ [$€-1]"/>
    </dxf>
    <dxf>
      <numFmt numFmtId="164" formatCode="#,##0.00\ [$€-1]"/>
    </dxf>
    <dxf>
      <numFmt numFmtId="164" formatCode="#,##0.00\ [$€-1]"/>
    </dxf>
    <dxf>
      <numFmt numFmtId="164" formatCode="#,##0.00\ [$€-1]"/>
    </dxf>
    <dxf>
      <numFmt numFmtId="165" formatCode="&quot;$&quot;#,##0.00"/>
    </dxf>
    <dxf>
      <numFmt numFmtId="165" formatCode="&quot;$&quot;#,##0.00"/>
    </dxf>
    <dxf>
      <numFmt numFmtId="164" formatCode="#,##0.00\ [$€-1]"/>
    </dxf>
    <dxf>
      <numFmt numFmtId="14" formatCode="0.00%"/>
    </dxf>
    <dxf>
      <numFmt numFmtId="13" formatCode="0%"/>
    </dxf>
    <dxf>
      <numFmt numFmtId="13" formatCode="0%"/>
    </dxf>
    <dxf>
      <numFmt numFmtId="164" formatCode="#,##0.00\ [$€-1]"/>
    </dxf>
    <dxf>
      <numFmt numFmtId="0" formatCode="General"/>
    </dxf>
    <dxf>
      <numFmt numFmtId="164" formatCode="#,##0.00\ [$€-1]"/>
    </dxf>
    <dxf>
      <numFmt numFmtId="164" formatCode="#,##0.00\ [$€-1]"/>
    </dxf>
    <dxf>
      <numFmt numFmtId="164" formatCode="#,##0.00\ [$€-1]"/>
    </dxf>
    <dxf>
      <numFmt numFmtId="164" formatCode="#,##0.00\ [$€-1]"/>
    </dxf>
    <dxf>
      <numFmt numFmtId="165" formatCode="&quot;$&quot;#,##0.00"/>
    </dxf>
    <dxf>
      <numFmt numFmtId="165" formatCode="&quot;$&quot;#,##0.00"/>
    </dxf>
    <dxf>
      <numFmt numFmtId="164" formatCode="#,##0.00\ [$€-1]"/>
    </dxf>
    <dxf>
      <numFmt numFmtId="164" formatCode="#,##0.00\ [$€-1]"/>
    </dxf>
    <dxf>
      <numFmt numFmtId="164" formatCode="#,##0.00\ [$€-1]"/>
    </dxf>
    <dxf>
      <numFmt numFmtId="164" formatCode="#,##0.00\ [$€-1]"/>
    </dxf>
    <dxf>
      <numFmt numFmtId="164" formatCode="#,##0.00\ [$€-1]"/>
    </dxf>
    <dxf>
      <numFmt numFmtId="165" formatCode="&quot;$&quot;#,##0.00"/>
    </dxf>
    <dxf>
      <numFmt numFmtId="165" formatCode="&quot;$&quot;#,##0.00"/>
    </dxf>
    <dxf>
      <numFmt numFmtId="164" formatCode="#,##0.00\ [$€-1]"/>
    </dxf>
    <dxf>
      <numFmt numFmtId="14" formatCode="0.00%"/>
    </dxf>
    <dxf>
      <numFmt numFmtId="13" formatCode="0%"/>
    </dxf>
    <dxf>
      <numFmt numFmtId="13" formatCode="0%"/>
    </dxf>
    <dxf>
      <numFmt numFmtId="164" formatCode="#,##0.00\ [$€-1]"/>
    </dxf>
    <dxf>
      <numFmt numFmtId="0" formatCode="General"/>
    </dxf>
    <dxf>
      <numFmt numFmtId="164" formatCode="#,##0.00\ [$€-1]"/>
    </dxf>
    <dxf>
      <numFmt numFmtId="164" formatCode="#,##0.00\ [$€-1]"/>
    </dxf>
    <dxf>
      <numFmt numFmtId="164" formatCode="#,##0.00\ [$€-1]"/>
    </dxf>
    <dxf>
      <numFmt numFmtId="164" formatCode="#,##0.00\ [$€-1]"/>
    </dxf>
    <dxf>
      <numFmt numFmtId="165" formatCode="&quot;$&quot;#,##0.00"/>
    </dxf>
    <dxf>
      <numFmt numFmtId="165" formatCode="&quot;$&quot;#,##0.00"/>
    </dxf>
    <dxf>
      <numFmt numFmtId="164" formatCode="#,##0.00\ [$€-1]"/>
    </dxf>
    <dxf>
      <numFmt numFmtId="164" formatCode="#,##0.00\ [$€-1]"/>
    </dxf>
    <dxf>
      <numFmt numFmtId="164" formatCode="#,##0.00\ [$€-1]"/>
    </dxf>
    <dxf>
      <numFmt numFmtId="164" formatCode="#,##0.00\ [$€-1]"/>
    </dxf>
    <dxf>
      <numFmt numFmtId="164" formatCode="#,##0.00\ [$€-1]"/>
    </dxf>
    <dxf>
      <numFmt numFmtId="165" formatCode="&quot;$&quot;#,##0.00"/>
    </dxf>
    <dxf>
      <numFmt numFmtId="165" formatCode="&quot;$&quot;#,##0.00"/>
    </dxf>
    <dxf>
      <numFmt numFmtId="164" formatCode="#,##0.00\ [$€-1]"/>
    </dxf>
    <dxf>
      <numFmt numFmtId="14" formatCode="0.00%"/>
    </dxf>
    <dxf>
      <numFmt numFmtId="13" formatCode="0%"/>
    </dxf>
    <dxf>
      <numFmt numFmtId="13" formatCode="0%"/>
    </dxf>
    <dxf>
      <numFmt numFmtId="164" formatCode="#,##0.00\ [$€-1]"/>
    </dxf>
    <dxf>
      <numFmt numFmtId="0" formatCode="General"/>
    </dxf>
    <dxf>
      <numFmt numFmtId="164" formatCode="#,##0.00\ [$€-1]"/>
    </dxf>
    <dxf>
      <numFmt numFmtId="164" formatCode="#,##0.00\ [$€-1]"/>
    </dxf>
    <dxf>
      <numFmt numFmtId="164" formatCode="#,##0.00\ [$€-1]"/>
    </dxf>
    <dxf>
      <numFmt numFmtId="164" formatCode="#,##0.00\ [$€-1]"/>
    </dxf>
    <dxf>
      <numFmt numFmtId="165" formatCode="&quot;$&quot;#,##0.00"/>
    </dxf>
    <dxf>
      <numFmt numFmtId="165" formatCode="&quot;$&quot;#,##0.00"/>
    </dxf>
    <dxf>
      <numFmt numFmtId="164" formatCode="#,##0.00\ [$€-1]"/>
    </dxf>
    <dxf>
      <numFmt numFmtId="164" formatCode="#,##0.00\ [$€-1]"/>
    </dxf>
    <dxf>
      <numFmt numFmtId="164" formatCode="#,##0.00\ [$€-1]"/>
    </dxf>
    <dxf>
      <numFmt numFmtId="164" formatCode="#,##0.00\ [$€-1]"/>
    </dxf>
    <dxf>
      <numFmt numFmtId="164" formatCode="#,##0.00\ [$€-1]"/>
    </dxf>
    <dxf>
      <numFmt numFmtId="165" formatCode="&quot;$&quot;#,##0.00"/>
    </dxf>
    <dxf>
      <numFmt numFmtId="165" formatCode="&quot;$&quot;#,##0.00"/>
    </dxf>
    <dxf>
      <numFmt numFmtId="164" formatCode="#,##0.00\ [$€-1]"/>
    </dxf>
    <dxf>
      <numFmt numFmtId="14" formatCode="0.00%"/>
    </dxf>
    <dxf>
      <numFmt numFmtId="13" formatCode="0%"/>
    </dxf>
    <dxf>
      <numFmt numFmtId="13" formatCode="0%"/>
    </dxf>
    <dxf>
      <numFmt numFmtId="164" formatCode="#,##0.00\ [$€-1]"/>
    </dxf>
    <dxf>
      <numFmt numFmtId="0" formatCode="General"/>
    </dxf>
    <dxf>
      <numFmt numFmtId="164" formatCode="#,##0.00\ [$€-1]"/>
    </dxf>
    <dxf>
      <numFmt numFmtId="164" formatCode="#,##0.00\ [$€-1]"/>
    </dxf>
    <dxf>
      <numFmt numFmtId="164" formatCode="#,##0.00\ [$€-1]"/>
    </dxf>
    <dxf>
      <numFmt numFmtId="164" formatCode="#,##0.00\ [$€-1]"/>
    </dxf>
    <dxf>
      <numFmt numFmtId="165" formatCode="&quot;$&quot;#,##0.00"/>
    </dxf>
    <dxf>
      <numFmt numFmtId="165" formatCode="&quot;$&quot;#,##0.00"/>
    </dxf>
    <dxf>
      <numFmt numFmtId="164" formatCode="#,##0.00\ [$€-1]"/>
    </dxf>
    <dxf>
      <numFmt numFmtId="164" formatCode="#,##0.00\ [$€-1]"/>
    </dxf>
    <dxf>
      <numFmt numFmtId="164" formatCode="#,##0.00\ [$€-1]"/>
    </dxf>
    <dxf>
      <numFmt numFmtId="164" formatCode="#,##0.00\ [$€-1]"/>
    </dxf>
    <dxf>
      <numFmt numFmtId="164" formatCode="#,##0.00\ [$€-1]"/>
    </dxf>
    <dxf>
      <numFmt numFmtId="165" formatCode="&quot;$&quot;#,##0.00"/>
    </dxf>
    <dxf>
      <numFmt numFmtId="165" formatCode="&quot;$&quot;#,##0.00"/>
    </dxf>
    <dxf>
      <numFmt numFmtId="164" formatCode="#,##0.00\ [$€-1]"/>
    </dxf>
    <dxf>
      <numFmt numFmtId="14" formatCode="0.00%"/>
    </dxf>
    <dxf>
      <numFmt numFmtId="13" formatCode="0%"/>
    </dxf>
    <dxf>
      <numFmt numFmtId="13" formatCode="0%"/>
    </dxf>
    <dxf>
      <numFmt numFmtId="164" formatCode="#,##0.00\ [$€-1]"/>
    </dxf>
    <dxf>
      <numFmt numFmtId="0" formatCode="General"/>
    </dxf>
    <dxf>
      <numFmt numFmtId="164" formatCode="#,##0.00\ [$€-1]"/>
    </dxf>
    <dxf>
      <numFmt numFmtId="164" formatCode="#,##0.00\ [$€-1]"/>
    </dxf>
    <dxf>
      <numFmt numFmtId="164" formatCode="#,##0.00\ [$€-1]"/>
    </dxf>
    <dxf>
      <numFmt numFmtId="164" formatCode="#,##0.00\ [$€-1]"/>
    </dxf>
    <dxf>
      <numFmt numFmtId="165" formatCode="&quot;$&quot;#,##0.00"/>
    </dxf>
    <dxf>
      <numFmt numFmtId="165" formatCode="&quot;$&quot;#,##0.00"/>
    </dxf>
    <dxf>
      <numFmt numFmtId="164" formatCode="#,##0.00\ [$€-1]"/>
    </dxf>
    <dxf>
      <numFmt numFmtId="164" formatCode="#,##0.00\ [$€-1]"/>
    </dxf>
    <dxf>
      <numFmt numFmtId="164" formatCode="#,##0.00\ [$€-1]"/>
    </dxf>
    <dxf>
      <numFmt numFmtId="164" formatCode="#,##0.00\ [$€-1]"/>
    </dxf>
    <dxf>
      <numFmt numFmtId="164" formatCode="#,##0.00\ [$€-1]"/>
    </dxf>
    <dxf>
      <numFmt numFmtId="165" formatCode="&quot;$&quot;#,##0.00"/>
    </dxf>
    <dxf>
      <numFmt numFmtId="165" formatCode="&quot;$&quot;#,##0.00"/>
    </dxf>
    <dxf>
      <numFmt numFmtId="164" formatCode="#,##0.00\ [$€-1]"/>
    </dxf>
    <dxf>
      <numFmt numFmtId="14" formatCode="0.00%"/>
    </dxf>
    <dxf>
      <numFmt numFmtId="13" formatCode="0%"/>
    </dxf>
    <dxf>
      <numFmt numFmtId="13" formatCode="0%"/>
    </dxf>
    <dxf>
      <numFmt numFmtId="164" formatCode="#,##0.00\ [$€-1]"/>
    </dxf>
    <dxf>
      <numFmt numFmtId="0" formatCode="General"/>
    </dxf>
    <dxf>
      <numFmt numFmtId="164" formatCode="#,##0.00\ [$€-1]"/>
    </dxf>
    <dxf>
      <numFmt numFmtId="164" formatCode="#,##0.00\ [$€-1]"/>
    </dxf>
    <dxf>
      <numFmt numFmtId="164" formatCode="#,##0.00\ [$€-1]"/>
    </dxf>
    <dxf>
      <numFmt numFmtId="164" formatCode="#,##0.00\ [$€-1]"/>
    </dxf>
    <dxf>
      <numFmt numFmtId="165" formatCode="&quot;$&quot;#,##0.00"/>
    </dxf>
    <dxf>
      <numFmt numFmtId="165" formatCode="&quot;$&quot;#,##0.00"/>
    </dxf>
    <dxf>
      <numFmt numFmtId="164" formatCode="#,##0.00\ [$€-1]"/>
    </dxf>
    <dxf>
      <numFmt numFmtId="164" formatCode="#,##0.00\ [$€-1]"/>
    </dxf>
    <dxf>
      <numFmt numFmtId="164" formatCode="#,##0.00\ [$€-1]"/>
    </dxf>
    <dxf>
      <numFmt numFmtId="164" formatCode="#,##0.00\ [$€-1]"/>
    </dxf>
    <dxf>
      <numFmt numFmtId="164" formatCode="#,##0.00\ [$€-1]"/>
    </dxf>
    <dxf>
      <numFmt numFmtId="165" formatCode="&quot;$&quot;#,##0.00"/>
    </dxf>
    <dxf>
      <numFmt numFmtId="165" formatCode="&quot;$&quot;#,##0.00"/>
    </dxf>
    <dxf>
      <numFmt numFmtId="164" formatCode="#,##0.00\ [$€-1]"/>
    </dxf>
    <dxf>
      <numFmt numFmtId="14" formatCode="0.00%"/>
    </dxf>
    <dxf>
      <numFmt numFmtId="13" formatCode="0%"/>
    </dxf>
    <dxf>
      <numFmt numFmtId="13" formatCode="0%"/>
    </dxf>
    <dxf>
      <numFmt numFmtId="164" formatCode="#,##0.00\ [$€-1]"/>
    </dxf>
    <dxf>
      <numFmt numFmtId="0" formatCode="General"/>
    </dxf>
    <dxf>
      <numFmt numFmtId="164" formatCode="#,##0.00\ [$€-1]"/>
    </dxf>
    <dxf>
      <numFmt numFmtId="164" formatCode="#,##0.00\ [$€-1]"/>
    </dxf>
    <dxf>
      <numFmt numFmtId="164" formatCode="#,##0.00\ [$€-1]"/>
    </dxf>
    <dxf>
      <numFmt numFmtId="164" formatCode="#,##0.00\ [$€-1]"/>
    </dxf>
    <dxf>
      <numFmt numFmtId="165" formatCode="&quot;$&quot;#,##0.00"/>
    </dxf>
    <dxf>
      <numFmt numFmtId="165" formatCode="&quot;$&quot;#,##0.00"/>
    </dxf>
    <dxf>
      <numFmt numFmtId="164" formatCode="#,##0.00\ [$€-1]"/>
    </dxf>
    <dxf>
      <numFmt numFmtId="164" formatCode="#,##0.00\ [$€-1]"/>
    </dxf>
    <dxf>
      <numFmt numFmtId="164" formatCode="#,##0.00\ [$€-1]"/>
    </dxf>
    <dxf>
      <numFmt numFmtId="164" formatCode="#,##0.00\ [$€-1]"/>
    </dxf>
    <dxf>
      <numFmt numFmtId="164" formatCode="#,##0.00\ [$€-1]"/>
    </dxf>
    <dxf>
      <numFmt numFmtId="165" formatCode="&quot;$&quot;#,##0.00"/>
    </dxf>
    <dxf>
      <numFmt numFmtId="165" formatCode="&quot;$&quot;#,##0.00"/>
    </dxf>
    <dxf>
      <numFmt numFmtId="164" formatCode="#,##0.00\ [$€-1]"/>
    </dxf>
    <dxf>
      <numFmt numFmtId="14" formatCode="0.00%"/>
    </dxf>
    <dxf>
      <numFmt numFmtId="13" formatCode="0%"/>
    </dxf>
    <dxf>
      <numFmt numFmtId="13" formatCode="0%"/>
    </dxf>
    <dxf>
      <numFmt numFmtId="164" formatCode="#,##0.00\ [$€-1]"/>
    </dxf>
    <dxf>
      <numFmt numFmtId="0" formatCode="General"/>
    </dxf>
    <dxf>
      <numFmt numFmtId="164" formatCode="#,##0.00\ [$€-1]"/>
    </dxf>
    <dxf>
      <numFmt numFmtId="164" formatCode="#,##0.00\ [$€-1]"/>
    </dxf>
    <dxf>
      <numFmt numFmtId="164" formatCode="#,##0.00\ [$€-1]"/>
    </dxf>
    <dxf>
      <numFmt numFmtId="164" formatCode="#,##0.00\ [$€-1]"/>
    </dxf>
    <dxf>
      <numFmt numFmtId="165" formatCode="&quot;$&quot;#,##0.00"/>
    </dxf>
    <dxf>
      <numFmt numFmtId="165" formatCode="&quot;$&quot;#,##0.00"/>
    </dxf>
    <dxf>
      <numFmt numFmtId="164" formatCode="#,##0.00\ [$€-1]"/>
    </dxf>
    <dxf>
      <numFmt numFmtId="164" formatCode="#,##0.00\ [$€-1]"/>
    </dxf>
    <dxf>
      <numFmt numFmtId="164" formatCode="#,##0.00\ [$€-1]"/>
    </dxf>
    <dxf>
      <numFmt numFmtId="164" formatCode="#,##0.00\ [$€-1]"/>
    </dxf>
    <dxf>
      <numFmt numFmtId="164" formatCode="#,##0.00\ [$€-1]"/>
    </dxf>
    <dxf>
      <numFmt numFmtId="165" formatCode="&quot;$&quot;#,##0.00"/>
    </dxf>
    <dxf>
      <numFmt numFmtId="165" formatCode="&quot;$&quot;#,##0.00"/>
    </dxf>
    <dxf>
      <numFmt numFmtId="164" formatCode="#,##0.00\ [$€-1]"/>
    </dxf>
    <dxf>
      <numFmt numFmtId="14" formatCode="0.00%"/>
    </dxf>
    <dxf>
      <numFmt numFmtId="13" formatCode="0%"/>
    </dxf>
    <dxf>
      <numFmt numFmtId="13" formatCode="0%"/>
    </dxf>
    <dxf>
      <numFmt numFmtId="164" formatCode="#,##0.00\ [$€-1]"/>
    </dxf>
    <dxf>
      <numFmt numFmtId="0" formatCode="General"/>
    </dxf>
    <dxf>
      <numFmt numFmtId="164" formatCode="#,##0.00\ [$€-1]"/>
    </dxf>
    <dxf>
      <numFmt numFmtId="164" formatCode="#,##0.00\ [$€-1]"/>
    </dxf>
    <dxf>
      <numFmt numFmtId="164" formatCode="#,##0.00\ [$€-1]"/>
    </dxf>
    <dxf>
      <numFmt numFmtId="164" formatCode="#,##0.00\ [$€-1]"/>
    </dxf>
    <dxf>
      <numFmt numFmtId="165" formatCode="&quot;$&quot;#,##0.00"/>
    </dxf>
    <dxf>
      <numFmt numFmtId="165" formatCode="&quot;$&quot;#,##0.00"/>
    </dxf>
    <dxf>
      <numFmt numFmtId="164" formatCode="#,##0.00\ [$€-1]"/>
    </dxf>
    <dxf>
      <numFmt numFmtId="164" formatCode="#,##0.00\ [$€-1]"/>
    </dxf>
    <dxf>
      <numFmt numFmtId="164" formatCode="#,##0.00\ [$€-1]"/>
    </dxf>
    <dxf>
      <numFmt numFmtId="164" formatCode="#,##0.00\ [$€-1]"/>
    </dxf>
    <dxf>
      <numFmt numFmtId="164" formatCode="#,##0.00\ [$€-1]"/>
    </dxf>
    <dxf>
      <numFmt numFmtId="165" formatCode="&quot;$&quot;#,##0.00"/>
    </dxf>
    <dxf>
      <numFmt numFmtId="165" formatCode="&quot;$&quot;#,##0.00"/>
    </dxf>
    <dxf>
      <numFmt numFmtId="164" formatCode="#,##0.00\ [$€-1]"/>
    </dxf>
    <dxf>
      <numFmt numFmtId="14" formatCode="0.00%"/>
    </dxf>
    <dxf>
      <numFmt numFmtId="13" formatCode="0%"/>
    </dxf>
    <dxf>
      <numFmt numFmtId="13" formatCode="0%"/>
    </dxf>
    <dxf>
      <numFmt numFmtId="164" formatCode="#,##0.00\ [$€-1]"/>
    </dxf>
    <dxf>
      <numFmt numFmtId="0" formatCode="General"/>
    </dxf>
    <dxf>
      <numFmt numFmtId="164" formatCode="#,##0.00\ [$€-1]"/>
    </dxf>
    <dxf>
      <numFmt numFmtId="164" formatCode="#,##0.00\ [$€-1]"/>
    </dxf>
    <dxf>
      <numFmt numFmtId="164" formatCode="#,##0.00\ [$€-1]"/>
    </dxf>
    <dxf>
      <numFmt numFmtId="164" formatCode="#,##0.00\ [$€-1]"/>
    </dxf>
    <dxf>
      <numFmt numFmtId="165" formatCode="&quot;$&quot;#,##0.00"/>
    </dxf>
    <dxf>
      <numFmt numFmtId="165" formatCode="&quot;$&quot;#,##0.00"/>
    </dxf>
    <dxf>
      <numFmt numFmtId="164" formatCode="#,##0.00\ [$€-1]"/>
    </dxf>
    <dxf>
      <numFmt numFmtId="164" formatCode="#,##0.00\ [$€-1]"/>
    </dxf>
    <dxf>
      <numFmt numFmtId="164" formatCode="#,##0.00\ [$€-1]"/>
    </dxf>
    <dxf>
      <numFmt numFmtId="164" formatCode="#,##0.00\ [$€-1]"/>
    </dxf>
    <dxf>
      <numFmt numFmtId="164" formatCode="#,##0.00\ [$€-1]"/>
    </dxf>
    <dxf>
      <numFmt numFmtId="165" formatCode="&quot;$&quot;#,##0.00"/>
    </dxf>
    <dxf>
      <numFmt numFmtId="165" formatCode="&quot;$&quot;#,##0.00"/>
    </dxf>
    <dxf>
      <numFmt numFmtId="164" formatCode="#,##0.00\ [$€-1]"/>
    </dxf>
    <dxf>
      <numFmt numFmtId="14" formatCode="0.00%"/>
    </dxf>
    <dxf>
      <numFmt numFmtId="13" formatCode="0%"/>
    </dxf>
    <dxf>
      <numFmt numFmtId="13" formatCode="0%"/>
    </dxf>
    <dxf>
      <numFmt numFmtId="164" formatCode="#,##0.00\ [$€-1]"/>
    </dxf>
    <dxf>
      <numFmt numFmtId="0" formatCode="General"/>
    </dxf>
    <dxf>
      <numFmt numFmtId="164" formatCode="#,##0.00\ [$€-1]"/>
    </dxf>
    <dxf>
      <numFmt numFmtId="164" formatCode="#,##0.00\ [$€-1]"/>
    </dxf>
    <dxf>
      <numFmt numFmtId="164" formatCode="#,##0.00\ [$€-1]"/>
    </dxf>
    <dxf>
      <numFmt numFmtId="164" formatCode="#,##0.00\ [$€-1]"/>
    </dxf>
    <dxf>
      <numFmt numFmtId="165" formatCode="&quot;$&quot;#,##0.00"/>
    </dxf>
    <dxf>
      <numFmt numFmtId="165" formatCode="&quot;$&quot;#,##0.00"/>
    </dxf>
    <dxf>
      <numFmt numFmtId="164" formatCode="#,##0.00\ [$€-1]"/>
    </dxf>
    <dxf>
      <numFmt numFmtId="164" formatCode="#,##0.00\ [$€-1]"/>
    </dxf>
    <dxf>
      <numFmt numFmtId="164" formatCode="#,##0.00\ [$€-1]"/>
    </dxf>
    <dxf>
      <numFmt numFmtId="164" formatCode="#,##0.00\ [$€-1]"/>
    </dxf>
    <dxf>
      <numFmt numFmtId="164" formatCode="#,##0.00\ [$€-1]"/>
    </dxf>
    <dxf>
      <numFmt numFmtId="165" formatCode="&quot;$&quot;#,##0.00"/>
    </dxf>
    <dxf>
      <numFmt numFmtId="165" formatCode="&quot;$&quot;#,##0.00"/>
    </dxf>
    <dxf>
      <numFmt numFmtId="164" formatCode="#,##0.00\ [$€-1]"/>
    </dxf>
    <dxf>
      <numFmt numFmtId="14" formatCode="0.00%"/>
    </dxf>
    <dxf>
      <numFmt numFmtId="13" formatCode="0%"/>
    </dxf>
    <dxf>
      <numFmt numFmtId="13" formatCode="0%"/>
    </dxf>
    <dxf>
      <numFmt numFmtId="164" formatCode="#,##0.00\ [$€-1]"/>
    </dxf>
    <dxf>
      <numFmt numFmtId="0" formatCode="General"/>
    </dxf>
    <dxf>
      <numFmt numFmtId="164" formatCode="#,##0.00\ [$€-1]"/>
    </dxf>
    <dxf>
      <numFmt numFmtId="164" formatCode="#,##0.00\ [$€-1]"/>
    </dxf>
    <dxf>
      <numFmt numFmtId="164" formatCode="#,##0.00\ [$€-1]"/>
    </dxf>
    <dxf>
      <numFmt numFmtId="164" formatCode="#,##0.00\ [$€-1]"/>
    </dxf>
    <dxf>
      <numFmt numFmtId="165" formatCode="&quot;$&quot;#,##0.00"/>
    </dxf>
    <dxf>
      <numFmt numFmtId="165" formatCode="&quot;$&quot;#,##0.00"/>
    </dxf>
    <dxf>
      <numFmt numFmtId="164" formatCode="#,##0.00\ [$€-1]"/>
    </dxf>
    <dxf>
      <numFmt numFmtId="164" formatCode="#,##0.00\ [$€-1]"/>
    </dxf>
    <dxf>
      <numFmt numFmtId="164" formatCode="#,##0.00\ [$€-1]"/>
    </dxf>
    <dxf>
      <numFmt numFmtId="164" formatCode="#,##0.00\ [$€-1]"/>
    </dxf>
    <dxf>
      <numFmt numFmtId="164" formatCode="#,##0.00\ [$€-1]"/>
    </dxf>
    <dxf>
      <numFmt numFmtId="165" formatCode="&quot;$&quot;#,##0.00"/>
    </dxf>
    <dxf>
      <numFmt numFmtId="165" formatCode="&quot;$&quot;#,##0.00"/>
    </dxf>
    <dxf>
      <numFmt numFmtId="164" formatCode="#,##0.00\ [$€-1]"/>
    </dxf>
    <dxf>
      <numFmt numFmtId="14" formatCode="0.00%"/>
    </dxf>
    <dxf>
      <numFmt numFmtId="13" formatCode="0%"/>
    </dxf>
    <dxf>
      <numFmt numFmtId="13" formatCode="0%"/>
    </dxf>
    <dxf>
      <numFmt numFmtId="164" formatCode="#,##0.00\ [$€-1]"/>
    </dxf>
    <dxf>
      <numFmt numFmtId="0" formatCode="General"/>
    </dxf>
    <dxf>
      <numFmt numFmtId="164" formatCode="#,##0.00\ [$€-1]"/>
    </dxf>
    <dxf>
      <numFmt numFmtId="164" formatCode="#,##0.00\ [$€-1]"/>
    </dxf>
    <dxf>
      <numFmt numFmtId="164" formatCode="#,##0.00\ [$€-1]"/>
    </dxf>
    <dxf>
      <numFmt numFmtId="164" formatCode="#,##0.00\ [$€-1]"/>
    </dxf>
    <dxf>
      <numFmt numFmtId="165" formatCode="&quot;$&quot;#,##0.00"/>
    </dxf>
    <dxf>
      <numFmt numFmtId="165" formatCode="&quot;$&quot;#,##0.00"/>
    </dxf>
    <dxf>
      <numFmt numFmtId="164" formatCode="#,##0.00\ [$€-1]"/>
    </dxf>
    <dxf>
      <numFmt numFmtId="164" formatCode="#,##0.00\ [$€-1]"/>
    </dxf>
    <dxf>
      <numFmt numFmtId="164" formatCode="#,##0.00\ [$€-1]"/>
    </dxf>
    <dxf>
      <numFmt numFmtId="164" formatCode="#,##0.00\ [$€-1]"/>
    </dxf>
    <dxf>
      <numFmt numFmtId="164" formatCode="#,##0.00\ [$€-1]"/>
    </dxf>
    <dxf>
      <numFmt numFmtId="165" formatCode="&quot;$&quot;#,##0.00"/>
    </dxf>
    <dxf>
      <numFmt numFmtId="165" formatCode="&quot;$&quot;#,##0.00"/>
    </dxf>
    <dxf>
      <numFmt numFmtId="164" formatCode="#,##0.00\ [$€-1]"/>
    </dxf>
    <dxf>
      <numFmt numFmtId="14" formatCode="0.00%"/>
    </dxf>
    <dxf>
      <numFmt numFmtId="13" formatCode="0%"/>
    </dxf>
    <dxf>
      <numFmt numFmtId="13" formatCode="0%"/>
    </dxf>
    <dxf>
      <numFmt numFmtId="164" formatCode="#,##0.00\ [$€-1]"/>
    </dxf>
    <dxf>
      <numFmt numFmtId="0" formatCode="General"/>
    </dxf>
    <dxf>
      <numFmt numFmtId="164" formatCode="#,##0.00\ [$€-1]"/>
    </dxf>
    <dxf>
      <numFmt numFmtId="164" formatCode="#,##0.00\ [$€-1]"/>
    </dxf>
    <dxf>
      <numFmt numFmtId="164" formatCode="#,##0.00\ [$€-1]"/>
    </dxf>
    <dxf>
      <numFmt numFmtId="164" formatCode="#,##0.00\ [$€-1]"/>
    </dxf>
    <dxf>
      <numFmt numFmtId="165" formatCode="&quot;$&quot;#,##0.00"/>
    </dxf>
    <dxf>
      <numFmt numFmtId="165" formatCode="&quot;$&quot;#,##0.00"/>
    </dxf>
    <dxf>
      <numFmt numFmtId="164" formatCode="#,##0.00\ [$€-1]"/>
    </dxf>
    <dxf>
      <numFmt numFmtId="164" formatCode="#,##0.00\ [$€-1]"/>
    </dxf>
    <dxf>
      <numFmt numFmtId="164" formatCode="#,##0.00\ [$€-1]"/>
    </dxf>
    <dxf>
      <numFmt numFmtId="164" formatCode="#,##0.00\ [$€-1]"/>
    </dxf>
    <dxf>
      <numFmt numFmtId="164" formatCode="#,##0.00\ [$€-1]"/>
    </dxf>
    <dxf>
      <font>
        <color rgb="FF006100"/>
      </font>
      <fill>
        <patternFill>
          <bgColor rgb="FFC6EFCE"/>
        </patternFill>
      </fill>
    </dxf>
    <dxf>
      <font>
        <color rgb="FF9C0006"/>
      </font>
      <fill>
        <patternFill>
          <bgColor rgb="FFFFC7CE"/>
        </patternFill>
      </fill>
    </dxf>
    <dxf>
      <numFmt numFmtId="164" formatCode="#,##0.00\ [$€-1]"/>
    </dxf>
    <dxf>
      <numFmt numFmtId="164" formatCode="#,##0.00\ [$€-1]"/>
    </dxf>
    <dxf>
      <numFmt numFmtId="164" formatCode="#,##0.00\ [$€-1]"/>
    </dxf>
    <dxf>
      <numFmt numFmtId="164" formatCode="#,##0.00\ [$€-1]"/>
    </dxf>
    <dxf>
      <numFmt numFmtId="164" formatCode="#,##0.00\ [$€-1]"/>
    </dxf>
    <dxf>
      <numFmt numFmtId="164" formatCode="#,##0.00\ [$€-1]"/>
    </dxf>
    <dxf>
      <numFmt numFmtId="164" formatCode="#,##0.00\ [$€-1]"/>
    </dxf>
    <dxf>
      <numFmt numFmtId="164" formatCode="#,##0.00\ [$€-1]"/>
    </dxf>
    <dxf>
      <numFmt numFmtId="164" formatCode="#,##0.00\ [$€-1]"/>
    </dxf>
    <dxf>
      <numFmt numFmtId="13" formatCode="0%"/>
    </dxf>
    <dxf>
      <numFmt numFmtId="164" formatCode="#,##0.00\ [$€-1]"/>
    </dxf>
    <dxf>
      <numFmt numFmtId="165" formatCode="&quot;$&quot;#,##0.00"/>
    </dxf>
    <dxf>
      <numFmt numFmtId="165" formatCode="&quot;$&quot;#,##0.00"/>
    </dxf>
    <dxf>
      <numFmt numFmtId="164" formatCode="#,##0.00\ [$€-1]"/>
    </dxf>
    <dxf>
      <numFmt numFmtId="164" formatCode="#,##0.00\ [$€-1]"/>
    </dxf>
    <dxf>
      <numFmt numFmtId="164" formatCode="#,##0.00\ [$€-1]"/>
    </dxf>
    <dxf>
      <numFmt numFmtId="165" formatCode="&quot;$&quot;#,##0.00"/>
    </dxf>
    <dxf>
      <numFmt numFmtId="165" formatCode="&quot;$&quot;#,##0.00"/>
    </dxf>
    <dxf>
      <numFmt numFmtId="164" formatCode="#,##0.00\ [$€-1]"/>
    </dxf>
    <dxf>
      <numFmt numFmtId="164" formatCode="#,##0.00\ [$€-1]"/>
    </dxf>
    <dxf>
      <numFmt numFmtId="0" formatCode="General"/>
    </dxf>
    <dxf>
      <numFmt numFmtId="164" formatCode="#,##0.00\ [$€-1]"/>
    </dxf>
    <dxf>
      <numFmt numFmtId="13" formatCode="0%"/>
    </dxf>
    <dxf>
      <numFmt numFmtId="13" formatCode="0%"/>
    </dxf>
    <dxf>
      <numFmt numFmtId="14" formatCode="0.00%"/>
    </dxf>
    <dxf>
      <numFmt numFmtId="164" formatCode="#,##0.00\ [$€-1]"/>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m/dd/yyyy"/>
    </dxf>
    <dxf>
      <numFmt numFmtId="164" formatCode="#,##0.00\ [$€-1]"/>
    </dxf>
    <dxf>
      <numFmt numFmtId="19" formatCode="mm/dd/yyyy"/>
    </dxf>
    <dxf>
      <numFmt numFmtId="164" formatCode="#,##0.00\ [$€-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[real_estate_dataset.xlsx]Pivot tables!Pivot table 1</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c:f>
              <c:strCache>
                <c:ptCount val="1"/>
                <c:pt idx="0">
                  <c:v>Total</c:v>
                </c:pt>
              </c:strCache>
            </c:strRef>
          </c:tx>
          <c:spPr>
            <a:solidFill>
              <a:schemeClr val="accent1"/>
            </a:solidFill>
            <a:ln>
              <a:noFill/>
            </a:ln>
            <a:effectLst/>
          </c:spPr>
          <c:invertIfNegative val="0"/>
          <c:cat>
            <c:strRef>
              <c:f>'Pivot tables'!$A$5:$A$10</c:f>
              <c:strCache>
                <c:ptCount val="5"/>
                <c:pt idx="0">
                  <c:v>Nis</c:v>
                </c:pt>
                <c:pt idx="1">
                  <c:v>Novi Sad</c:v>
                </c:pt>
                <c:pt idx="2">
                  <c:v>Becej</c:v>
                </c:pt>
                <c:pt idx="3">
                  <c:v>Belgrade</c:v>
                </c:pt>
                <c:pt idx="4">
                  <c:v>Subotica</c:v>
                </c:pt>
              </c:strCache>
            </c:strRef>
          </c:cat>
          <c:val>
            <c:numRef>
              <c:f>'Pivot tables'!$B$5:$B$10</c:f>
              <c:numCache>
                <c:formatCode>#,##0.00\ [$€-1]</c:formatCode>
                <c:ptCount val="5"/>
                <c:pt idx="0">
                  <c:v>8302754</c:v>
                </c:pt>
                <c:pt idx="1">
                  <c:v>7722630</c:v>
                </c:pt>
                <c:pt idx="2">
                  <c:v>7283263</c:v>
                </c:pt>
                <c:pt idx="3">
                  <c:v>6124651</c:v>
                </c:pt>
                <c:pt idx="4">
                  <c:v>5630099</c:v>
                </c:pt>
              </c:numCache>
            </c:numRef>
          </c:val>
          <c:extLst>
            <c:ext xmlns:c16="http://schemas.microsoft.com/office/drawing/2014/chart" uri="{C3380CC4-5D6E-409C-BE32-E72D297353CC}">
              <c16:uniqueId val="{00000000-0A78-430F-AE7F-EA16C1615BC8}"/>
            </c:ext>
          </c:extLst>
        </c:ser>
        <c:dLbls>
          <c:showLegendKey val="0"/>
          <c:showVal val="0"/>
          <c:showCatName val="0"/>
          <c:showSerName val="0"/>
          <c:showPercent val="0"/>
          <c:showBubbleSize val="0"/>
        </c:dLbls>
        <c:gapWidth val="219"/>
        <c:overlap val="-27"/>
        <c:axId val="298574383"/>
        <c:axId val="3303791"/>
      </c:barChart>
      <c:catAx>
        <c:axId val="298574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3791"/>
        <c:crosses val="autoZero"/>
        <c:auto val="1"/>
        <c:lblAlgn val="ctr"/>
        <c:lblOffset val="100"/>
        <c:noMultiLvlLbl val="0"/>
      </c:catAx>
      <c:valAx>
        <c:axId val="3303791"/>
        <c:scaling>
          <c:orientation val="minMax"/>
        </c:scaling>
        <c:delete val="0"/>
        <c:axPos val="l"/>
        <c:majorGridlines>
          <c:spPr>
            <a:ln w="9525" cap="flat" cmpd="sng" algn="ctr">
              <a:solidFill>
                <a:schemeClr val="tx1">
                  <a:lumMod val="15000"/>
                  <a:lumOff val="85000"/>
                </a:schemeClr>
              </a:solidFill>
              <a:round/>
            </a:ln>
            <a:effectLst/>
          </c:spPr>
        </c:majorGridlines>
        <c:numFmt formatCode="#,##0.00\ [$€-1]"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5743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[real_estate_dataset.xlsx]Pivot tables!PivotTable9</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'Pivot tables'!$N$3</c:f>
              <c:strCache>
                <c:ptCount val="1"/>
                <c:pt idx="0">
                  <c:v>Count of PropertyID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37D-4AF3-A1A4-5F84139110C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37D-4AF3-A1A4-5F84139110C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37D-4AF3-A1A4-5F84139110C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37D-4AF3-A1A4-5F84139110C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tables'!$M$4:$M$8</c:f>
              <c:strCache>
                <c:ptCount val="4"/>
                <c:pt idx="0">
                  <c:v>Apartment</c:v>
                </c:pt>
                <c:pt idx="1">
                  <c:v>House</c:v>
                </c:pt>
                <c:pt idx="2">
                  <c:v>Studio</c:v>
                </c:pt>
                <c:pt idx="3">
                  <c:v>Villa</c:v>
                </c:pt>
              </c:strCache>
            </c:strRef>
          </c:cat>
          <c:val>
            <c:numRef>
              <c:f>'Pivot tables'!$N$4:$N$8</c:f>
              <c:numCache>
                <c:formatCode>General</c:formatCode>
                <c:ptCount val="4"/>
                <c:pt idx="0">
                  <c:v>74</c:v>
                </c:pt>
                <c:pt idx="1">
                  <c:v>62</c:v>
                </c:pt>
                <c:pt idx="2">
                  <c:v>81</c:v>
                </c:pt>
                <c:pt idx="3">
                  <c:v>83</c:v>
                </c:pt>
              </c:numCache>
            </c:numRef>
          </c:val>
          <c:extLst>
            <c:ext xmlns:c16="http://schemas.microsoft.com/office/drawing/2014/chart" uri="{C3380CC4-5D6E-409C-BE32-E72D297353CC}">
              <c16:uniqueId val="{00000000-4ED9-473C-9A11-65EEAB1A3697}"/>
            </c:ext>
          </c:extLst>
        </c:ser>
        <c:ser>
          <c:idx val="1"/>
          <c:order val="1"/>
          <c:tx>
            <c:strRef>
              <c:f>'Pivot tables'!$O$3</c:f>
              <c:strCache>
                <c:ptCount val="1"/>
                <c:pt idx="0">
                  <c:v>Count of PropertyID2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937D-4AF3-A1A4-5F84139110C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937D-4AF3-A1A4-5F84139110C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937D-4AF3-A1A4-5F84139110C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937D-4AF3-A1A4-5F84139110C7}"/>
              </c:ext>
            </c:extLst>
          </c:dPt>
          <c:cat>
            <c:strRef>
              <c:f>'Pivot tables'!$M$4:$M$8</c:f>
              <c:strCache>
                <c:ptCount val="4"/>
                <c:pt idx="0">
                  <c:v>Apartment</c:v>
                </c:pt>
                <c:pt idx="1">
                  <c:v>House</c:v>
                </c:pt>
                <c:pt idx="2">
                  <c:v>Studio</c:v>
                </c:pt>
                <c:pt idx="3">
                  <c:v>Villa</c:v>
                </c:pt>
              </c:strCache>
            </c:strRef>
          </c:cat>
          <c:val>
            <c:numRef>
              <c:f>'Pivot tables'!$O$4:$O$8</c:f>
              <c:numCache>
                <c:formatCode>0%</c:formatCode>
                <c:ptCount val="4"/>
                <c:pt idx="0">
                  <c:v>0.24666666666666667</c:v>
                </c:pt>
                <c:pt idx="1">
                  <c:v>0.20666666666666667</c:v>
                </c:pt>
                <c:pt idx="2">
                  <c:v>0.27</c:v>
                </c:pt>
                <c:pt idx="3">
                  <c:v>0.27666666666666667</c:v>
                </c:pt>
              </c:numCache>
            </c:numRef>
          </c:val>
          <c:extLst>
            <c:ext xmlns:c16="http://schemas.microsoft.com/office/drawing/2014/chart" uri="{C3380CC4-5D6E-409C-BE32-E72D297353CC}">
              <c16:uniqueId val="{00000001-4ED9-473C-9A11-65EEAB1A369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[real_estate_dataset.xlsx]Pivot tables!PivotTable7</c:name>
    <c:fmtId val="11"/>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pivotFmt>
      <c:pivotFmt>
        <c:idx val="19"/>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gradFill rotWithShape="1">
            <a:gsLst>
              <a:gs pos="0">
                <a:schemeClr val="accent6">
                  <a:shade val="53000"/>
                  <a:shade val="51000"/>
                  <a:satMod val="130000"/>
                </a:schemeClr>
              </a:gs>
              <a:gs pos="80000">
                <a:schemeClr val="accent6">
                  <a:shade val="53000"/>
                  <a:shade val="93000"/>
                  <a:satMod val="130000"/>
                </a:schemeClr>
              </a:gs>
              <a:gs pos="100000">
                <a:schemeClr val="accent6">
                  <a:shade val="53000"/>
                  <a:shade val="94000"/>
                  <a:satMod val="135000"/>
                </a:schemeClr>
              </a:gs>
            </a:gsLst>
            <a:lin ang="16200000" scaled="0"/>
          </a:gradFill>
          <a:ln>
            <a:noFill/>
          </a:ln>
          <a:effectLst>
            <a:outerShdw blurRad="40000" dist="23000" dir="5400000" rotWithShape="0">
              <a:srgbClr val="000000">
                <a:alpha val="35000"/>
              </a:srgbClr>
            </a:outerShdw>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
      </c:pivotFmt>
      <c:pivotFmt>
        <c:idx val="21"/>
        <c:spPr>
          <a:gradFill rotWithShape="1">
            <a:gsLst>
              <a:gs pos="0">
                <a:schemeClr val="accent6">
                  <a:shade val="76000"/>
                  <a:shade val="51000"/>
                  <a:satMod val="130000"/>
                </a:schemeClr>
              </a:gs>
              <a:gs pos="80000">
                <a:schemeClr val="accent6">
                  <a:shade val="76000"/>
                  <a:shade val="93000"/>
                  <a:satMod val="130000"/>
                </a:schemeClr>
              </a:gs>
              <a:gs pos="100000">
                <a:schemeClr val="accent6">
                  <a:shade val="76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2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pivotFmt>
      <c:pivotFmt>
        <c:idx val="23"/>
        <c:spPr>
          <a:gradFill rotWithShape="1">
            <a:gsLst>
              <a:gs pos="0">
                <a:schemeClr val="accent6">
                  <a:tint val="77000"/>
                  <a:shade val="51000"/>
                  <a:satMod val="130000"/>
                </a:schemeClr>
              </a:gs>
              <a:gs pos="80000">
                <a:schemeClr val="accent6">
                  <a:tint val="77000"/>
                  <a:shade val="93000"/>
                  <a:satMod val="130000"/>
                </a:schemeClr>
              </a:gs>
              <a:gs pos="100000">
                <a:schemeClr val="accent6">
                  <a:tint val="77000"/>
                  <a:shade val="94000"/>
                  <a:satMod val="135000"/>
                </a:schemeClr>
              </a:gs>
            </a:gsLst>
            <a:lin ang="16200000" scaled="0"/>
          </a:gradFill>
          <a:ln>
            <a:noFill/>
          </a:ln>
          <a:effectLst>
            <a:outerShdw blurRad="40000" dist="23000" dir="5400000" rotWithShape="0">
              <a:srgbClr val="000000">
                <a:alpha val="35000"/>
              </a:srgbClr>
            </a:outerShdw>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
      </c:pivotFmt>
      <c:pivotFmt>
        <c:idx val="24"/>
        <c:spPr>
          <a:gradFill rotWithShape="1">
            <a:gsLst>
              <a:gs pos="0">
                <a:schemeClr val="accent6">
                  <a:tint val="54000"/>
                  <a:shade val="51000"/>
                  <a:satMod val="130000"/>
                </a:schemeClr>
              </a:gs>
              <a:gs pos="80000">
                <a:schemeClr val="accent6">
                  <a:tint val="54000"/>
                  <a:shade val="93000"/>
                  <a:satMod val="130000"/>
                </a:schemeClr>
              </a:gs>
              <a:gs pos="100000">
                <a:schemeClr val="accent6">
                  <a:tint val="54000"/>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doughnutChart>
        <c:varyColors val="1"/>
        <c:ser>
          <c:idx val="0"/>
          <c:order val="0"/>
          <c:tx>
            <c:strRef>
              <c:f>'Pivot tables'!$K$3</c:f>
              <c:strCache>
                <c:ptCount val="1"/>
                <c:pt idx="0">
                  <c:v>Total</c:v>
                </c:pt>
              </c:strCache>
            </c:strRef>
          </c:tx>
          <c:dPt>
            <c:idx val="0"/>
            <c:bubble3D val="0"/>
            <c:spPr>
              <a:gradFill rotWithShape="1">
                <a:gsLst>
                  <a:gs pos="0">
                    <a:schemeClr val="accent6">
                      <a:shade val="53000"/>
                      <a:shade val="51000"/>
                      <a:satMod val="130000"/>
                    </a:schemeClr>
                  </a:gs>
                  <a:gs pos="80000">
                    <a:schemeClr val="accent6">
                      <a:shade val="53000"/>
                      <a:shade val="93000"/>
                      <a:satMod val="130000"/>
                    </a:schemeClr>
                  </a:gs>
                  <a:gs pos="100000">
                    <a:schemeClr val="accent6">
                      <a:shade val="53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2820-43DF-B663-983E2F2D0A75}"/>
              </c:ext>
            </c:extLst>
          </c:dPt>
          <c:dPt>
            <c:idx val="1"/>
            <c:bubble3D val="0"/>
            <c:spPr>
              <a:gradFill rotWithShape="1">
                <a:gsLst>
                  <a:gs pos="0">
                    <a:schemeClr val="accent6">
                      <a:shade val="76000"/>
                      <a:shade val="51000"/>
                      <a:satMod val="130000"/>
                    </a:schemeClr>
                  </a:gs>
                  <a:gs pos="80000">
                    <a:schemeClr val="accent6">
                      <a:shade val="76000"/>
                      <a:shade val="93000"/>
                      <a:satMod val="130000"/>
                    </a:schemeClr>
                  </a:gs>
                  <a:gs pos="100000">
                    <a:schemeClr val="accent6">
                      <a:shade val="76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2820-43DF-B663-983E2F2D0A75}"/>
              </c:ext>
            </c:extLst>
          </c:dPt>
          <c:dPt>
            <c:idx val="2"/>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2820-43DF-B663-983E2F2D0A75}"/>
              </c:ext>
            </c:extLst>
          </c:dPt>
          <c:dPt>
            <c:idx val="3"/>
            <c:bubble3D val="0"/>
            <c:spPr>
              <a:gradFill rotWithShape="1">
                <a:gsLst>
                  <a:gs pos="0">
                    <a:schemeClr val="accent6">
                      <a:tint val="77000"/>
                      <a:shade val="51000"/>
                      <a:satMod val="130000"/>
                    </a:schemeClr>
                  </a:gs>
                  <a:gs pos="80000">
                    <a:schemeClr val="accent6">
                      <a:tint val="77000"/>
                      <a:shade val="93000"/>
                      <a:satMod val="130000"/>
                    </a:schemeClr>
                  </a:gs>
                  <a:gs pos="100000">
                    <a:schemeClr val="accent6">
                      <a:tint val="77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2820-43DF-B663-983E2F2D0A75}"/>
              </c:ext>
            </c:extLst>
          </c:dPt>
          <c:dPt>
            <c:idx val="4"/>
            <c:bubble3D val="0"/>
            <c:spPr>
              <a:gradFill rotWithShape="1">
                <a:gsLst>
                  <a:gs pos="0">
                    <a:schemeClr val="accent6">
                      <a:tint val="54000"/>
                      <a:shade val="51000"/>
                      <a:satMod val="130000"/>
                    </a:schemeClr>
                  </a:gs>
                  <a:gs pos="80000">
                    <a:schemeClr val="accent6">
                      <a:tint val="54000"/>
                      <a:shade val="93000"/>
                      <a:satMod val="130000"/>
                    </a:schemeClr>
                  </a:gs>
                  <a:gs pos="100000">
                    <a:schemeClr val="accent6">
                      <a:tint val="54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9-2820-43DF-B663-983E2F2D0A75}"/>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tables'!$J$4:$J$9</c:f>
              <c:strCache>
                <c:ptCount val="5"/>
                <c:pt idx="0">
                  <c:v>Becej</c:v>
                </c:pt>
                <c:pt idx="1">
                  <c:v>Belgrade</c:v>
                </c:pt>
                <c:pt idx="2">
                  <c:v>Nis</c:v>
                </c:pt>
                <c:pt idx="3">
                  <c:v>Novi Sad</c:v>
                </c:pt>
                <c:pt idx="4">
                  <c:v>Subotica</c:v>
                </c:pt>
              </c:strCache>
            </c:strRef>
          </c:cat>
          <c:val>
            <c:numRef>
              <c:f>'Pivot tables'!$K$4:$K$9</c:f>
              <c:numCache>
                <c:formatCode>0%</c:formatCode>
                <c:ptCount val="5"/>
                <c:pt idx="0">
                  <c:v>0.21235915367936323</c:v>
                </c:pt>
                <c:pt idx="1">
                  <c:v>0.16300997558078489</c:v>
                </c:pt>
                <c:pt idx="2">
                  <c:v>0.22401190767820101</c:v>
                </c:pt>
                <c:pt idx="3">
                  <c:v>0.21639810748803864</c:v>
                </c:pt>
                <c:pt idx="4">
                  <c:v>0.1842208555736122</c:v>
                </c:pt>
              </c:numCache>
            </c:numRef>
          </c:val>
          <c:extLst>
            <c:ext xmlns:c16="http://schemas.microsoft.com/office/drawing/2014/chart" uri="{C3380CC4-5D6E-409C-BE32-E72D297353CC}">
              <c16:uniqueId val="{0000000A-2820-43DF-B663-983E2F2D0A75}"/>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[real_estate_dataset.xlsx]Pivot tables!Pivot table 1</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994274838452211"/>
          <c:y val="9.4017094017094016E-2"/>
          <c:w val="0.59716520039100685"/>
          <c:h val="0.70770711353388516"/>
        </c:manualLayout>
      </c:layout>
      <c:barChart>
        <c:barDir val="bar"/>
        <c:grouping val="clustered"/>
        <c:varyColors val="0"/>
        <c:ser>
          <c:idx val="0"/>
          <c:order val="0"/>
          <c:tx>
            <c:strRef>
              <c:f>'Pivot tables'!$B$4</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tables'!$A$5:$A$10</c:f>
              <c:strCache>
                <c:ptCount val="5"/>
                <c:pt idx="0">
                  <c:v>Nis</c:v>
                </c:pt>
                <c:pt idx="1">
                  <c:v>Novi Sad</c:v>
                </c:pt>
                <c:pt idx="2">
                  <c:v>Becej</c:v>
                </c:pt>
                <c:pt idx="3">
                  <c:v>Belgrade</c:v>
                </c:pt>
                <c:pt idx="4">
                  <c:v>Subotica</c:v>
                </c:pt>
              </c:strCache>
            </c:strRef>
          </c:cat>
          <c:val>
            <c:numRef>
              <c:f>'Pivot tables'!$B$5:$B$10</c:f>
              <c:numCache>
                <c:formatCode>#,##0.00\ [$€-1]</c:formatCode>
                <c:ptCount val="5"/>
                <c:pt idx="0">
                  <c:v>8302754</c:v>
                </c:pt>
                <c:pt idx="1">
                  <c:v>7722630</c:v>
                </c:pt>
                <c:pt idx="2">
                  <c:v>7283263</c:v>
                </c:pt>
                <c:pt idx="3">
                  <c:v>6124651</c:v>
                </c:pt>
                <c:pt idx="4">
                  <c:v>5630099</c:v>
                </c:pt>
              </c:numCache>
            </c:numRef>
          </c:val>
          <c:extLst>
            <c:ext xmlns:c16="http://schemas.microsoft.com/office/drawing/2014/chart" uri="{C3380CC4-5D6E-409C-BE32-E72D297353CC}">
              <c16:uniqueId val="{00000000-A7F2-4EB1-B3D3-D0053C458387}"/>
            </c:ext>
          </c:extLst>
        </c:ser>
        <c:dLbls>
          <c:showLegendKey val="0"/>
          <c:showVal val="0"/>
          <c:showCatName val="0"/>
          <c:showSerName val="0"/>
          <c:showPercent val="0"/>
          <c:showBubbleSize val="0"/>
        </c:dLbls>
        <c:gapWidth val="100"/>
        <c:axId val="365616096"/>
        <c:axId val="365617056"/>
      </c:barChart>
      <c:catAx>
        <c:axId val="365616096"/>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365617056"/>
        <c:crosses val="autoZero"/>
        <c:auto val="1"/>
        <c:lblAlgn val="ctr"/>
        <c:lblOffset val="100"/>
        <c:noMultiLvlLbl val="0"/>
      </c:catAx>
      <c:valAx>
        <c:axId val="365617056"/>
        <c:scaling>
          <c:orientation val="minMax"/>
        </c:scaling>
        <c:delete val="0"/>
        <c:axPos val="b"/>
        <c:majorGridlines>
          <c:spPr>
            <a:ln w="9525" cap="flat" cmpd="sng" algn="ctr">
              <a:solidFill>
                <a:schemeClr val="tx2">
                  <a:lumMod val="15000"/>
                  <a:lumOff val="85000"/>
                </a:schemeClr>
              </a:solidFill>
              <a:round/>
            </a:ln>
            <a:effectLst/>
          </c:spPr>
        </c:majorGridlines>
        <c:numFmt formatCode="#,##0\ [$€-1]"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365616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[real_estate_dataset.xlsx]Pivot tables!PivotTable8</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6"/>
            </a:solidFill>
            <a:round/>
          </a:ln>
          <a:effectLst/>
        </c:spPr>
        <c:marker>
          <c:symbol val="circle"/>
          <c:size val="6"/>
          <c:spPr>
            <a:solidFill>
              <a:schemeClr val="lt1"/>
            </a:solidFill>
            <a:ln w="1587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tables'!$H$3</c:f>
              <c:strCache>
                <c:ptCount val="1"/>
                <c:pt idx="0">
                  <c:v>Total</c:v>
                </c:pt>
              </c:strCache>
            </c:strRef>
          </c:tx>
          <c:spPr>
            <a:ln w="22225" cap="rnd">
              <a:solidFill>
                <a:schemeClr val="accent6"/>
              </a:solidFill>
              <a:round/>
            </a:ln>
            <a:effectLst/>
          </c:spPr>
          <c:marker>
            <c:symbol val="circle"/>
            <c:size val="6"/>
            <c:spPr>
              <a:solidFill>
                <a:schemeClr val="lt1"/>
              </a:solidFill>
              <a:ln w="15875">
                <a:solidFill>
                  <a:schemeClr val="accent6"/>
                </a:solidFill>
                <a:round/>
              </a:ln>
              <a:effectLst/>
            </c:spPr>
          </c:marker>
          <c:cat>
            <c:strRef>
              <c:f>'Pivot tables'!$G$4:$G$21</c:f>
              <c:strCache>
                <c:ptCount val="17"/>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pt idx="12">
                  <c:v>2025-01</c:v>
                </c:pt>
                <c:pt idx="13">
                  <c:v>2025-02</c:v>
                </c:pt>
                <c:pt idx="14">
                  <c:v>2025-03</c:v>
                </c:pt>
                <c:pt idx="15">
                  <c:v>2025-04</c:v>
                </c:pt>
                <c:pt idx="16">
                  <c:v>2025-05</c:v>
                </c:pt>
              </c:strCache>
            </c:strRef>
          </c:cat>
          <c:val>
            <c:numRef>
              <c:f>'Pivot tables'!$H$4:$H$21</c:f>
              <c:numCache>
                <c:formatCode>#,##0.00\ [$€-1]</c:formatCode>
                <c:ptCount val="17"/>
                <c:pt idx="0">
                  <c:v>4535735</c:v>
                </c:pt>
                <c:pt idx="1">
                  <c:v>6668756</c:v>
                </c:pt>
                <c:pt idx="2">
                  <c:v>4758645</c:v>
                </c:pt>
                <c:pt idx="3">
                  <c:v>5171869</c:v>
                </c:pt>
                <c:pt idx="4">
                  <c:v>3776414</c:v>
                </c:pt>
                <c:pt idx="5">
                  <c:v>3363133</c:v>
                </c:pt>
                <c:pt idx="6">
                  <c:v>7226410</c:v>
                </c:pt>
                <c:pt idx="7">
                  <c:v>4228725</c:v>
                </c:pt>
                <c:pt idx="8">
                  <c:v>6121056</c:v>
                </c:pt>
                <c:pt idx="9">
                  <c:v>4510423</c:v>
                </c:pt>
                <c:pt idx="10">
                  <c:v>4556366</c:v>
                </c:pt>
                <c:pt idx="11">
                  <c:v>5494522</c:v>
                </c:pt>
                <c:pt idx="12">
                  <c:v>4910026</c:v>
                </c:pt>
                <c:pt idx="13">
                  <c:v>4959046</c:v>
                </c:pt>
                <c:pt idx="14">
                  <c:v>4873821</c:v>
                </c:pt>
                <c:pt idx="15">
                  <c:v>4658511</c:v>
                </c:pt>
                <c:pt idx="16">
                  <c:v>2454133</c:v>
                </c:pt>
              </c:numCache>
            </c:numRef>
          </c:val>
          <c:smooth val="0"/>
          <c:extLst>
            <c:ext xmlns:c16="http://schemas.microsoft.com/office/drawing/2014/chart" uri="{C3380CC4-5D6E-409C-BE32-E72D297353CC}">
              <c16:uniqueId val="{00000000-E332-4FBD-8599-BC8BDEC07832}"/>
            </c:ext>
          </c:extLst>
        </c:ser>
        <c:dLbls>
          <c:showLegendKey val="0"/>
          <c:showVal val="0"/>
          <c:showCatName val="0"/>
          <c:showSerName val="0"/>
          <c:showPercent val="0"/>
          <c:showBubbleSize val="0"/>
        </c:dLbls>
        <c:marker val="1"/>
        <c:smooth val="0"/>
        <c:axId val="359947408"/>
        <c:axId val="359932048"/>
      </c:lineChart>
      <c:catAx>
        <c:axId val="359947408"/>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accent6">
                    <a:lumMod val="50000"/>
                  </a:schemeClr>
                </a:solidFill>
                <a:latin typeface="+mn-lt"/>
                <a:ea typeface="+mn-ea"/>
                <a:cs typeface="+mn-cs"/>
              </a:defRPr>
            </a:pPr>
            <a:endParaRPr lang="en-US"/>
          </a:p>
        </c:txPr>
        <c:crossAx val="359932048"/>
        <c:crosses val="autoZero"/>
        <c:auto val="1"/>
        <c:lblAlgn val="ctr"/>
        <c:lblOffset val="100"/>
        <c:noMultiLvlLbl val="0"/>
      </c:catAx>
      <c:valAx>
        <c:axId val="359932048"/>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0.00\ [$€-1]"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359947408"/>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[real_estate_dataset.xlsx]Pivot tables!PivotTable2</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tables'!$E$3</c:f>
              <c:strCache>
                <c:ptCount val="1"/>
                <c:pt idx="0">
                  <c:v>Total</c:v>
                </c:pt>
              </c:strCache>
            </c:strRef>
          </c:tx>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invertIfNegative val="0"/>
          <c:cat>
            <c:strRef>
              <c:f>'Pivot tables'!$D$4:$D$9</c:f>
              <c:strCache>
                <c:ptCount val="5"/>
                <c:pt idx="0">
                  <c:v>Marko Jovic</c:v>
                </c:pt>
                <c:pt idx="1">
                  <c:v>Mina Lukic</c:v>
                </c:pt>
                <c:pt idx="2">
                  <c:v>Ana Markovic</c:v>
                </c:pt>
                <c:pt idx="3">
                  <c:v>Ivan Stankovic</c:v>
                </c:pt>
                <c:pt idx="4">
                  <c:v>Jelena Petrovic</c:v>
                </c:pt>
              </c:strCache>
            </c:strRef>
          </c:cat>
          <c:val>
            <c:numRef>
              <c:f>'Pivot tables'!$E$4:$E$9</c:f>
              <c:numCache>
                <c:formatCode>#,##0.00\ [$€-1]</c:formatCode>
                <c:ptCount val="5"/>
                <c:pt idx="0">
                  <c:v>23814733</c:v>
                </c:pt>
                <c:pt idx="1">
                  <c:v>18051906</c:v>
                </c:pt>
                <c:pt idx="2">
                  <c:v>15253664</c:v>
                </c:pt>
                <c:pt idx="3">
                  <c:v>14501283</c:v>
                </c:pt>
                <c:pt idx="4">
                  <c:v>10646005</c:v>
                </c:pt>
              </c:numCache>
            </c:numRef>
          </c:val>
          <c:extLst>
            <c:ext xmlns:c16="http://schemas.microsoft.com/office/drawing/2014/chart" uri="{C3380CC4-5D6E-409C-BE32-E72D297353CC}">
              <c16:uniqueId val="{00000000-BE2F-45C7-AC20-4B0600E8A8A1}"/>
            </c:ext>
          </c:extLst>
        </c:ser>
        <c:dLbls>
          <c:showLegendKey val="0"/>
          <c:showVal val="0"/>
          <c:showCatName val="0"/>
          <c:showSerName val="0"/>
          <c:showPercent val="0"/>
          <c:showBubbleSize val="0"/>
        </c:dLbls>
        <c:gapWidth val="100"/>
        <c:overlap val="-24"/>
        <c:axId val="329736976"/>
        <c:axId val="329740336"/>
      </c:barChart>
      <c:catAx>
        <c:axId val="329736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329740336"/>
        <c:crosses val="autoZero"/>
        <c:auto val="1"/>
        <c:lblAlgn val="ctr"/>
        <c:lblOffset val="100"/>
        <c:noMultiLvlLbl val="0"/>
      </c:catAx>
      <c:valAx>
        <c:axId val="329740336"/>
        <c:scaling>
          <c:orientation val="minMax"/>
        </c:scaling>
        <c:delete val="0"/>
        <c:axPos val="l"/>
        <c:majorGridlines>
          <c:spPr>
            <a:ln w="9525" cap="flat" cmpd="sng" algn="ctr">
              <a:solidFill>
                <a:schemeClr val="tx1">
                  <a:lumMod val="15000"/>
                  <a:lumOff val="85000"/>
                </a:schemeClr>
              </a:solidFill>
              <a:round/>
            </a:ln>
            <a:effectLst/>
          </c:spPr>
        </c:majorGridlines>
        <c:numFmt formatCode="#,##0.00\ [$€-1]"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329736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11</xdr:row>
      <xdr:rowOff>7620</xdr:rowOff>
    </xdr:from>
    <xdr:to>
      <xdr:col>1</xdr:col>
      <xdr:colOff>1028700</xdr:colOff>
      <xdr:row>20</xdr:row>
      <xdr:rowOff>137160</xdr:rowOff>
    </xdr:to>
    <xdr:graphicFrame macro="">
      <xdr:nvGraphicFramePr>
        <xdr:cNvPr id="2" name="Chart 1">
          <a:extLst>
            <a:ext uri="{FF2B5EF4-FFF2-40B4-BE49-F238E27FC236}">
              <a16:creationId xmlns:a16="http://schemas.microsoft.com/office/drawing/2014/main" id="{1F06A3B4-8169-A802-CBC9-0AAFC25446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190500</xdr:colOff>
      <xdr:row>1</xdr:row>
      <xdr:rowOff>152400</xdr:rowOff>
    </xdr:from>
    <xdr:to>
      <xdr:col>21</xdr:col>
      <xdr:colOff>563880</xdr:colOff>
      <xdr:row>13</xdr:row>
      <xdr:rowOff>137160</xdr:rowOff>
    </xdr:to>
    <xdr:graphicFrame macro="">
      <xdr:nvGraphicFramePr>
        <xdr:cNvPr id="4" name="Chart 3">
          <a:extLst>
            <a:ext uri="{FF2B5EF4-FFF2-40B4-BE49-F238E27FC236}">
              <a16:creationId xmlns:a16="http://schemas.microsoft.com/office/drawing/2014/main" id="{53103D58-14AA-9DB4-C2F1-8F3C178B74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655320</xdr:colOff>
      <xdr:row>21</xdr:row>
      <xdr:rowOff>0</xdr:rowOff>
    </xdr:from>
    <xdr:to>
      <xdr:col>7</xdr:col>
      <xdr:colOff>533400</xdr:colOff>
      <xdr:row>26</xdr:row>
      <xdr:rowOff>152400</xdr:rowOff>
    </xdr:to>
    <xdr:sp macro="" textlink="">
      <xdr:nvSpPr>
        <xdr:cNvPr id="29" name="Rectangle: Rounded Corners 28">
          <a:extLst>
            <a:ext uri="{FF2B5EF4-FFF2-40B4-BE49-F238E27FC236}">
              <a16:creationId xmlns:a16="http://schemas.microsoft.com/office/drawing/2014/main" id="{4AEBC0BF-ECAD-4CE9-8DD6-BE8CE8FBA6B8}"/>
            </a:ext>
          </a:extLst>
        </xdr:cNvPr>
        <xdr:cNvSpPr/>
      </xdr:nvSpPr>
      <xdr:spPr>
        <a:xfrm>
          <a:off x="3726180" y="3954780"/>
          <a:ext cx="2575560" cy="1066800"/>
        </a:xfrm>
        <a:prstGeom prst="roundRect">
          <a:avLst>
            <a:gd name="adj" fmla="val 490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68580</xdr:colOff>
      <xdr:row>4</xdr:row>
      <xdr:rowOff>114300</xdr:rowOff>
    </xdr:from>
    <xdr:to>
      <xdr:col>17</xdr:col>
      <xdr:colOff>312420</xdr:colOff>
      <xdr:row>13</xdr:row>
      <xdr:rowOff>160020</xdr:rowOff>
    </xdr:to>
    <xdr:sp macro="" textlink="">
      <xdr:nvSpPr>
        <xdr:cNvPr id="30" name="Rectangle: Rounded Corners 29">
          <a:extLst>
            <a:ext uri="{FF2B5EF4-FFF2-40B4-BE49-F238E27FC236}">
              <a16:creationId xmlns:a16="http://schemas.microsoft.com/office/drawing/2014/main" id="{C3DBC6D4-63D6-48AA-A846-3E3F6004713C}"/>
            </a:ext>
          </a:extLst>
        </xdr:cNvPr>
        <xdr:cNvSpPr/>
      </xdr:nvSpPr>
      <xdr:spPr>
        <a:xfrm>
          <a:off x="6438900" y="960120"/>
          <a:ext cx="5387340" cy="1691640"/>
        </a:xfrm>
        <a:prstGeom prst="roundRect">
          <a:avLst>
            <a:gd name="adj" fmla="val 490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266700</xdr:colOff>
      <xdr:row>14</xdr:row>
      <xdr:rowOff>83820</xdr:rowOff>
    </xdr:from>
    <xdr:to>
      <xdr:col>17</xdr:col>
      <xdr:colOff>335280</xdr:colOff>
      <xdr:row>26</xdr:row>
      <xdr:rowOff>91440</xdr:rowOff>
    </xdr:to>
    <xdr:sp macro="" textlink="">
      <xdr:nvSpPr>
        <xdr:cNvPr id="31" name="Rectangle: Rounded Corners 30">
          <a:extLst>
            <a:ext uri="{FF2B5EF4-FFF2-40B4-BE49-F238E27FC236}">
              <a16:creationId xmlns:a16="http://schemas.microsoft.com/office/drawing/2014/main" id="{8CD90DCA-5C32-4296-B191-B26D4CEB6CBF}"/>
            </a:ext>
          </a:extLst>
        </xdr:cNvPr>
        <xdr:cNvSpPr/>
      </xdr:nvSpPr>
      <xdr:spPr>
        <a:xfrm>
          <a:off x="9342120" y="2758440"/>
          <a:ext cx="2506980" cy="2202180"/>
        </a:xfrm>
        <a:prstGeom prst="roundRect">
          <a:avLst>
            <a:gd name="adj" fmla="val 490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548640</xdr:colOff>
      <xdr:row>14</xdr:row>
      <xdr:rowOff>91440</xdr:rowOff>
    </xdr:from>
    <xdr:to>
      <xdr:col>4</xdr:col>
      <xdr:colOff>525780</xdr:colOff>
      <xdr:row>26</xdr:row>
      <xdr:rowOff>167640</xdr:rowOff>
    </xdr:to>
    <xdr:sp macro="" textlink="">
      <xdr:nvSpPr>
        <xdr:cNvPr id="33" name="Rectangle: Rounded Corners 32">
          <a:extLst>
            <a:ext uri="{FF2B5EF4-FFF2-40B4-BE49-F238E27FC236}">
              <a16:creationId xmlns:a16="http://schemas.microsoft.com/office/drawing/2014/main" id="{CA55FC52-D9EF-4102-8CD2-E6A42B075211}"/>
            </a:ext>
          </a:extLst>
        </xdr:cNvPr>
        <xdr:cNvSpPr/>
      </xdr:nvSpPr>
      <xdr:spPr>
        <a:xfrm>
          <a:off x="906780" y="2766060"/>
          <a:ext cx="2689860" cy="2270760"/>
        </a:xfrm>
        <a:prstGeom prst="roundRect">
          <a:avLst>
            <a:gd name="adj" fmla="val 490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655320</xdr:colOff>
      <xdr:row>14</xdr:row>
      <xdr:rowOff>91440</xdr:rowOff>
    </xdr:from>
    <xdr:to>
      <xdr:col>7</xdr:col>
      <xdr:colOff>518160</xdr:colOff>
      <xdr:row>20</xdr:row>
      <xdr:rowOff>22860</xdr:rowOff>
    </xdr:to>
    <xdr:sp macro="" textlink="'Pivot tables'!$J$13">
      <xdr:nvSpPr>
        <xdr:cNvPr id="34" name="Rectangle: Rounded Corners 33">
          <a:extLst>
            <a:ext uri="{FF2B5EF4-FFF2-40B4-BE49-F238E27FC236}">
              <a16:creationId xmlns:a16="http://schemas.microsoft.com/office/drawing/2014/main" id="{8157523C-A200-4027-9CBF-716CDCB68D6F}"/>
            </a:ext>
          </a:extLst>
        </xdr:cNvPr>
        <xdr:cNvSpPr/>
      </xdr:nvSpPr>
      <xdr:spPr>
        <a:xfrm>
          <a:off x="3726180" y="2766060"/>
          <a:ext cx="2560320" cy="1028700"/>
        </a:xfrm>
        <a:prstGeom prst="roundRect">
          <a:avLst>
            <a:gd name="adj" fmla="val 490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312420</xdr:colOff>
      <xdr:row>16</xdr:row>
      <xdr:rowOff>30480</xdr:rowOff>
    </xdr:from>
    <xdr:to>
      <xdr:col>17</xdr:col>
      <xdr:colOff>266700</xdr:colOff>
      <xdr:row>26</xdr:row>
      <xdr:rowOff>30480</xdr:rowOff>
    </xdr:to>
    <xdr:graphicFrame macro="">
      <xdr:nvGraphicFramePr>
        <xdr:cNvPr id="36" name="Chart 35">
          <a:extLst>
            <a:ext uri="{FF2B5EF4-FFF2-40B4-BE49-F238E27FC236}">
              <a16:creationId xmlns:a16="http://schemas.microsoft.com/office/drawing/2014/main" id="{F51739C1-D383-4847-97EC-20CF7D8532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586740</xdr:colOff>
      <xdr:row>15</xdr:row>
      <xdr:rowOff>137160</xdr:rowOff>
    </xdr:from>
    <xdr:to>
      <xdr:col>4</xdr:col>
      <xdr:colOff>472440</xdr:colOff>
      <xdr:row>26</xdr:row>
      <xdr:rowOff>53340</xdr:rowOff>
    </xdr:to>
    <xdr:graphicFrame macro="">
      <xdr:nvGraphicFramePr>
        <xdr:cNvPr id="38" name="Chart 37">
          <a:extLst>
            <a:ext uri="{FF2B5EF4-FFF2-40B4-BE49-F238E27FC236}">
              <a16:creationId xmlns:a16="http://schemas.microsoft.com/office/drawing/2014/main" id="{D673CB2E-AE7E-429B-B8CF-70874AF090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320040</xdr:colOff>
      <xdr:row>17</xdr:row>
      <xdr:rowOff>15240</xdr:rowOff>
    </xdr:from>
    <xdr:to>
      <xdr:col>7</xdr:col>
      <xdr:colOff>510540</xdr:colOff>
      <xdr:row>19</xdr:row>
      <xdr:rowOff>7620</xdr:rowOff>
    </xdr:to>
    <xdr:sp macro="" textlink="'Pivot tables'!$J$13">
      <xdr:nvSpPr>
        <xdr:cNvPr id="39" name="TextBox 38">
          <a:extLst>
            <a:ext uri="{FF2B5EF4-FFF2-40B4-BE49-F238E27FC236}">
              <a16:creationId xmlns:a16="http://schemas.microsoft.com/office/drawing/2014/main" id="{114CEF0D-E461-45AA-A305-BE016F6E2208}"/>
            </a:ext>
          </a:extLst>
        </xdr:cNvPr>
        <xdr:cNvSpPr txBox="1"/>
      </xdr:nvSpPr>
      <xdr:spPr>
        <a:xfrm>
          <a:off x="4335780" y="3238500"/>
          <a:ext cx="1943100" cy="3581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EFE5E740-EC43-465D-9EC1-F939E74435DB}" type="TxLink">
            <a:rPr lang="en-US" sz="2000" b="1" i="0" u="none" strike="noStrike">
              <a:solidFill>
                <a:schemeClr val="accent6">
                  <a:lumMod val="50000"/>
                </a:schemeClr>
              </a:solidFill>
              <a:latin typeface="Calibri"/>
              <a:ea typeface="Calibri"/>
              <a:cs typeface="Calibri"/>
            </a:rPr>
            <a:pPr algn="r"/>
            <a:t>82,267,591.00 €</a:t>
          </a:fld>
          <a:endParaRPr lang="en-US" sz="2000" b="1">
            <a:solidFill>
              <a:schemeClr val="accent6">
                <a:lumMod val="50000"/>
              </a:schemeClr>
            </a:solidFill>
          </a:endParaRPr>
        </a:p>
      </xdr:txBody>
    </xdr:sp>
    <xdr:clientData/>
  </xdr:twoCellAnchor>
  <xdr:twoCellAnchor>
    <xdr:from>
      <xdr:col>5</xdr:col>
      <xdr:colOff>266700</xdr:colOff>
      <xdr:row>24</xdr:row>
      <xdr:rowOff>0</xdr:rowOff>
    </xdr:from>
    <xdr:to>
      <xdr:col>7</xdr:col>
      <xdr:colOff>457200</xdr:colOff>
      <xdr:row>25</xdr:row>
      <xdr:rowOff>175260</xdr:rowOff>
    </xdr:to>
    <xdr:sp macro="" textlink="'Pivot tables'!$J$19">
      <xdr:nvSpPr>
        <xdr:cNvPr id="40" name="TextBox 39">
          <a:extLst>
            <a:ext uri="{FF2B5EF4-FFF2-40B4-BE49-F238E27FC236}">
              <a16:creationId xmlns:a16="http://schemas.microsoft.com/office/drawing/2014/main" id="{483F5738-8C30-437F-89BB-406C6FE25FA5}"/>
            </a:ext>
          </a:extLst>
        </xdr:cNvPr>
        <xdr:cNvSpPr txBox="1"/>
      </xdr:nvSpPr>
      <xdr:spPr>
        <a:xfrm>
          <a:off x="4282440" y="4503420"/>
          <a:ext cx="1943100" cy="3581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B26E9292-C915-4297-A544-D7230340A634}" type="TxLink">
            <a:rPr lang="en-US" sz="2000" b="1" i="0" u="none" strike="noStrike">
              <a:solidFill>
                <a:schemeClr val="accent6">
                  <a:lumMod val="50000"/>
                </a:schemeClr>
              </a:solidFill>
              <a:latin typeface="Calibri"/>
              <a:ea typeface="Calibri"/>
              <a:cs typeface="Calibri"/>
            </a:rPr>
            <a:pPr algn="r"/>
            <a:t>164,535.18 €</a:t>
          </a:fld>
          <a:endParaRPr lang="en-US" sz="4000" b="1">
            <a:solidFill>
              <a:schemeClr val="accent6">
                <a:lumMod val="50000"/>
              </a:schemeClr>
            </a:solidFill>
          </a:endParaRPr>
        </a:p>
      </xdr:txBody>
    </xdr:sp>
    <xdr:clientData/>
  </xdr:twoCellAnchor>
  <xdr:oneCellAnchor>
    <xdr:from>
      <xdr:col>2</xdr:col>
      <xdr:colOff>480060</xdr:colOff>
      <xdr:row>14</xdr:row>
      <xdr:rowOff>144780</xdr:rowOff>
    </xdr:from>
    <xdr:ext cx="980525" cy="280205"/>
    <xdr:sp macro="" textlink="">
      <xdr:nvSpPr>
        <xdr:cNvPr id="41" name="TextBox 40">
          <a:extLst>
            <a:ext uri="{FF2B5EF4-FFF2-40B4-BE49-F238E27FC236}">
              <a16:creationId xmlns:a16="http://schemas.microsoft.com/office/drawing/2014/main" id="{6286B633-718A-4F7D-8DC5-589EF5D3DB85}"/>
            </a:ext>
          </a:extLst>
        </xdr:cNvPr>
        <xdr:cNvSpPr txBox="1"/>
      </xdr:nvSpPr>
      <xdr:spPr>
        <a:xfrm>
          <a:off x="1737360" y="2834640"/>
          <a:ext cx="98052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chemeClr val="accent6">
                  <a:lumMod val="50000"/>
                </a:schemeClr>
              </a:solidFill>
            </a:rPr>
            <a:t>Sales by City</a:t>
          </a:r>
        </a:p>
      </xdr:txBody>
    </xdr:sp>
    <xdr:clientData/>
  </xdr:oneCellAnchor>
  <xdr:twoCellAnchor>
    <xdr:from>
      <xdr:col>14</xdr:col>
      <xdr:colOff>38100</xdr:colOff>
      <xdr:row>14</xdr:row>
      <xdr:rowOff>144780</xdr:rowOff>
    </xdr:from>
    <xdr:to>
      <xdr:col>17</xdr:col>
      <xdr:colOff>15240</xdr:colOff>
      <xdr:row>16</xdr:row>
      <xdr:rowOff>60960</xdr:rowOff>
    </xdr:to>
    <xdr:sp macro="" textlink="">
      <xdr:nvSpPr>
        <xdr:cNvPr id="44" name="TextBox 43">
          <a:extLst>
            <a:ext uri="{FF2B5EF4-FFF2-40B4-BE49-F238E27FC236}">
              <a16:creationId xmlns:a16="http://schemas.microsoft.com/office/drawing/2014/main" id="{A3D52331-86EB-4584-9BB0-97ED0F88ECBF}"/>
            </a:ext>
          </a:extLst>
        </xdr:cNvPr>
        <xdr:cNvSpPr txBox="1"/>
      </xdr:nvSpPr>
      <xdr:spPr>
        <a:xfrm>
          <a:off x="9723120" y="2834640"/>
          <a:ext cx="1805940" cy="281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6">
                  <a:lumMod val="50000"/>
                </a:schemeClr>
              </a:solidFill>
            </a:rPr>
            <a:t>Sales</a:t>
          </a:r>
          <a:r>
            <a:rPr lang="en-US" sz="1200" b="1" baseline="0">
              <a:solidFill>
                <a:schemeClr val="accent6">
                  <a:lumMod val="50000"/>
                </a:schemeClr>
              </a:solidFill>
            </a:rPr>
            <a:t> Percantage by City</a:t>
          </a:r>
          <a:endParaRPr lang="en-US" sz="1200" b="1">
            <a:solidFill>
              <a:schemeClr val="accent6">
                <a:lumMod val="50000"/>
              </a:schemeClr>
            </a:solidFill>
          </a:endParaRPr>
        </a:p>
      </xdr:txBody>
    </xdr:sp>
    <xdr:clientData/>
  </xdr:twoCellAnchor>
  <xdr:twoCellAnchor>
    <xdr:from>
      <xdr:col>4</xdr:col>
      <xdr:colOff>723900</xdr:colOff>
      <xdr:row>14</xdr:row>
      <xdr:rowOff>137160</xdr:rowOff>
    </xdr:from>
    <xdr:to>
      <xdr:col>5</xdr:col>
      <xdr:colOff>716280</xdr:colOff>
      <xdr:row>16</xdr:row>
      <xdr:rowOff>53340</xdr:rowOff>
    </xdr:to>
    <xdr:sp macro="" textlink="">
      <xdr:nvSpPr>
        <xdr:cNvPr id="45" name="TextBox 44">
          <a:extLst>
            <a:ext uri="{FF2B5EF4-FFF2-40B4-BE49-F238E27FC236}">
              <a16:creationId xmlns:a16="http://schemas.microsoft.com/office/drawing/2014/main" id="{AC66D229-0739-431C-9197-0B1E45E90895}"/>
            </a:ext>
          </a:extLst>
        </xdr:cNvPr>
        <xdr:cNvSpPr txBox="1"/>
      </xdr:nvSpPr>
      <xdr:spPr>
        <a:xfrm>
          <a:off x="3794760" y="2827020"/>
          <a:ext cx="937260" cy="281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6">
                  <a:lumMod val="50000"/>
                </a:schemeClr>
              </a:solidFill>
            </a:rPr>
            <a:t>Total Sales</a:t>
          </a:r>
        </a:p>
      </xdr:txBody>
    </xdr:sp>
    <xdr:clientData/>
  </xdr:twoCellAnchor>
  <xdr:twoCellAnchor>
    <xdr:from>
      <xdr:col>4</xdr:col>
      <xdr:colOff>723900</xdr:colOff>
      <xdr:row>21</xdr:row>
      <xdr:rowOff>83820</xdr:rowOff>
    </xdr:from>
    <xdr:to>
      <xdr:col>6</xdr:col>
      <xdr:colOff>60960</xdr:colOff>
      <xdr:row>22</xdr:row>
      <xdr:rowOff>160020</xdr:rowOff>
    </xdr:to>
    <xdr:sp macro="" textlink="">
      <xdr:nvSpPr>
        <xdr:cNvPr id="46" name="TextBox 45">
          <a:extLst>
            <a:ext uri="{FF2B5EF4-FFF2-40B4-BE49-F238E27FC236}">
              <a16:creationId xmlns:a16="http://schemas.microsoft.com/office/drawing/2014/main" id="{87241DFD-67F5-43C8-A9D8-0E201C347CA1}"/>
            </a:ext>
          </a:extLst>
        </xdr:cNvPr>
        <xdr:cNvSpPr txBox="1"/>
      </xdr:nvSpPr>
      <xdr:spPr>
        <a:xfrm>
          <a:off x="3794760" y="4053840"/>
          <a:ext cx="1158240" cy="2590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6">
                  <a:lumMod val="50000"/>
                </a:schemeClr>
              </a:solidFill>
            </a:rPr>
            <a:t>Average Sale</a:t>
          </a:r>
        </a:p>
      </xdr:txBody>
    </xdr:sp>
    <xdr:clientData/>
  </xdr:twoCellAnchor>
  <xdr:twoCellAnchor editAs="oneCell">
    <xdr:from>
      <xdr:col>4</xdr:col>
      <xdr:colOff>655320</xdr:colOff>
      <xdr:row>4</xdr:row>
      <xdr:rowOff>129540</xdr:rowOff>
    </xdr:from>
    <xdr:to>
      <xdr:col>7</xdr:col>
      <xdr:colOff>533400</xdr:colOff>
      <xdr:row>13</xdr:row>
      <xdr:rowOff>175260</xdr:rowOff>
    </xdr:to>
    <mc:AlternateContent xmlns:mc="http://schemas.openxmlformats.org/markup-compatibility/2006">
      <mc:Choice xmlns:a14="http://schemas.microsoft.com/office/drawing/2010/main" Requires="a14">
        <xdr:graphicFrame macro="">
          <xdr:nvGraphicFramePr>
            <xdr:cNvPr id="47" name="Status">
              <a:extLst>
                <a:ext uri="{FF2B5EF4-FFF2-40B4-BE49-F238E27FC236}">
                  <a16:creationId xmlns:a16="http://schemas.microsoft.com/office/drawing/2014/main" id="{1E0225E8-6701-8B5B-9835-97DBEF443A1D}"/>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3726180" y="990600"/>
              <a:ext cx="2575560" cy="1691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525780</xdr:colOff>
      <xdr:row>4</xdr:row>
      <xdr:rowOff>129539</xdr:rowOff>
    </xdr:from>
    <xdr:to>
      <xdr:col>4</xdr:col>
      <xdr:colOff>502920</xdr:colOff>
      <xdr:row>14</xdr:row>
      <xdr:rowOff>7620</xdr:rowOff>
    </xdr:to>
    <mc:AlternateContent xmlns:mc="http://schemas.openxmlformats.org/markup-compatibility/2006">
      <mc:Choice xmlns:a14="http://schemas.microsoft.com/office/drawing/2010/main" Requires="a14">
        <xdr:graphicFrame macro="">
          <xdr:nvGraphicFramePr>
            <xdr:cNvPr id="48" name="City">
              <a:extLst>
                <a:ext uri="{FF2B5EF4-FFF2-40B4-BE49-F238E27FC236}">
                  <a16:creationId xmlns:a16="http://schemas.microsoft.com/office/drawing/2014/main" id="{DE888BEF-6B8C-EC5B-BCC2-6CA9D567A1F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883920" y="990599"/>
              <a:ext cx="2689860" cy="17068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114300</xdr:colOff>
      <xdr:row>4</xdr:row>
      <xdr:rowOff>152400</xdr:rowOff>
    </xdr:from>
    <xdr:to>
      <xdr:col>17</xdr:col>
      <xdr:colOff>274320</xdr:colOff>
      <xdr:row>13</xdr:row>
      <xdr:rowOff>121920</xdr:rowOff>
    </xdr:to>
    <xdr:graphicFrame macro="">
      <xdr:nvGraphicFramePr>
        <xdr:cNvPr id="50" name="Chart 49">
          <a:extLst>
            <a:ext uri="{FF2B5EF4-FFF2-40B4-BE49-F238E27FC236}">
              <a16:creationId xmlns:a16="http://schemas.microsoft.com/office/drawing/2014/main" id="{60767571-A660-489F-A244-407204BB4F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53340</xdr:colOff>
      <xdr:row>14</xdr:row>
      <xdr:rowOff>83820</xdr:rowOff>
    </xdr:from>
    <xdr:to>
      <xdr:col>13</xdr:col>
      <xdr:colOff>129540</xdr:colOff>
      <xdr:row>26</xdr:row>
      <xdr:rowOff>114300</xdr:rowOff>
    </xdr:to>
    <xdr:sp macro="" textlink="">
      <xdr:nvSpPr>
        <xdr:cNvPr id="2" name="Rectangle: Rounded Corners 1">
          <a:extLst>
            <a:ext uri="{FF2B5EF4-FFF2-40B4-BE49-F238E27FC236}">
              <a16:creationId xmlns:a16="http://schemas.microsoft.com/office/drawing/2014/main" id="{3DAF0360-4218-4CF9-8382-EE66683A325D}"/>
            </a:ext>
          </a:extLst>
        </xdr:cNvPr>
        <xdr:cNvSpPr/>
      </xdr:nvSpPr>
      <xdr:spPr>
        <a:xfrm>
          <a:off x="6423660" y="2758440"/>
          <a:ext cx="2781300" cy="2225040"/>
        </a:xfrm>
        <a:prstGeom prst="roundRect">
          <a:avLst>
            <a:gd name="adj" fmla="val 490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121920</xdr:colOff>
      <xdr:row>15</xdr:row>
      <xdr:rowOff>15240</xdr:rowOff>
    </xdr:from>
    <xdr:to>
      <xdr:col>13</xdr:col>
      <xdr:colOff>91440</xdr:colOff>
      <xdr:row>26</xdr:row>
      <xdr:rowOff>38100</xdr:rowOff>
    </xdr:to>
    <xdr:graphicFrame macro="">
      <xdr:nvGraphicFramePr>
        <xdr:cNvPr id="37" name="Chart 36">
          <a:extLst>
            <a:ext uri="{FF2B5EF4-FFF2-40B4-BE49-F238E27FC236}">
              <a16:creationId xmlns:a16="http://schemas.microsoft.com/office/drawing/2014/main" id="{244FBBD5-84D0-4E04-B33E-E3A401C3F2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10</xdr:col>
      <xdr:colOff>381000</xdr:colOff>
      <xdr:row>14</xdr:row>
      <xdr:rowOff>91440</xdr:rowOff>
    </xdr:from>
    <xdr:ext cx="1149482" cy="280205"/>
    <xdr:sp macro="" textlink="">
      <xdr:nvSpPr>
        <xdr:cNvPr id="43" name="TextBox 42">
          <a:extLst>
            <a:ext uri="{FF2B5EF4-FFF2-40B4-BE49-F238E27FC236}">
              <a16:creationId xmlns:a16="http://schemas.microsoft.com/office/drawing/2014/main" id="{DA9CE24A-F570-4360-8921-9B8F40CF46E8}"/>
            </a:ext>
          </a:extLst>
        </xdr:cNvPr>
        <xdr:cNvSpPr txBox="1"/>
      </xdr:nvSpPr>
      <xdr:spPr>
        <a:xfrm>
          <a:off x="7673340" y="2781300"/>
          <a:ext cx="1149482"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chemeClr val="accent6">
                  <a:lumMod val="50000"/>
                </a:schemeClr>
              </a:solidFill>
            </a:rPr>
            <a:t>Sales by Agent </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vena" refreshedDate="46152.008380208332" createdVersion="8" refreshedVersion="8" minRefreshableVersion="3" recordCount="500" xr:uid="{A66D4857-17D5-4AB7-9A73-CA2D49F73B61}">
  <cacheSource type="worksheet">
    <worksheetSource name="Table3"/>
  </cacheSource>
  <cacheFields count="14">
    <cacheField name="TransactionID" numFmtId="0">
      <sharedItems containsSemiMixedTypes="0" containsString="0" containsNumber="1" containsInteger="1" minValue="1" maxValue="500"/>
    </cacheField>
    <cacheField name="PropertyID" numFmtId="0">
      <sharedItems containsSemiMixedTypes="0" containsString="0" containsNumber="1" containsInteger="1" minValue="2" maxValue="300"/>
    </cacheField>
    <cacheField name="AgentID" numFmtId="0">
      <sharedItems containsSemiMixedTypes="0" containsString="0" containsNumber="1" containsInteger="1" minValue="1" maxValue="10"/>
    </cacheField>
    <cacheField name="SalePrice" numFmtId="164">
      <sharedItems containsSemiMixedTypes="0" containsString="0" containsNumber="1" containsInteger="1" minValue="30354" maxValue="298666"/>
    </cacheField>
    <cacheField name="Status" numFmtId="0">
      <sharedItems count="3">
        <s v="Cancelled"/>
        <s v="Sold"/>
        <s v="Pending"/>
      </sharedItems>
    </cacheField>
    <cacheField name="SaleDate" numFmtId="14">
      <sharedItems count="306">
        <s v="2024-07-27"/>
        <s v="2025-04-16"/>
        <s v="2025-01-17"/>
        <s v="2024-04-06"/>
        <s v="2024-07-24"/>
        <s v="2025-02-06"/>
        <s v="2024-07-15"/>
        <s v="2024-11-05"/>
        <s v="2025-04-17"/>
        <s v="2025-01-31"/>
        <s v="2024-03-18"/>
        <s v="2024-07-07"/>
        <s v="2024-08-26"/>
        <s v="2024-07-28"/>
        <s v="2024-08-25"/>
        <s v="2024-01-14"/>
        <s v="2025-03-31"/>
        <s v="2025-01-30"/>
        <s v="2024-12-28"/>
        <s v="2024-09-27"/>
        <s v="2024-04-04"/>
        <s v="2024-11-21"/>
        <s v="2025-03-23"/>
        <s v="2024-10-25"/>
        <s v="2025-04-13"/>
        <s v="2024-09-26"/>
        <s v="2024-11-19"/>
        <s v="2024-03-19"/>
        <s v="2024-02-09"/>
        <s v="2024-09-13"/>
        <s v="2024-02-04"/>
        <s v="2024-02-21"/>
        <s v="2024-05-26"/>
        <s v="2024-08-17"/>
        <s v="2024-09-12"/>
        <s v="2024-06-09"/>
        <s v="2024-12-14"/>
        <s v="2025-04-10"/>
        <s v="2024-05-15"/>
        <s v="2024-08-19"/>
        <s v="2025-04-27"/>
        <s v="2024-06-26"/>
        <s v="2025-03-01"/>
        <s v="2025-04-12"/>
        <s v="2024-11-27"/>
        <s v="2024-11-12"/>
        <s v="2024-01-19"/>
        <s v="2024-10-16"/>
        <s v="2024-02-02"/>
        <s v="2024-03-17"/>
        <s v="2024-01-05"/>
        <s v="2024-09-18"/>
        <s v="2024-02-07"/>
        <s v="2024-07-23"/>
        <s v="2024-03-08"/>
        <s v="2024-02-08"/>
        <s v="2025-03-30"/>
        <s v="2025-04-08"/>
        <s v="2024-02-14"/>
        <s v="2024-09-07"/>
        <s v="2025-03-16"/>
        <s v="2024-12-01"/>
        <s v="2024-01-18"/>
        <s v="2024-08-24"/>
        <s v="2025-03-19"/>
        <s v="2025-01-08"/>
        <s v="2024-11-26"/>
        <s v="2024-02-19"/>
        <s v="2024-03-09"/>
        <s v="2025-02-21"/>
        <s v="2024-02-26"/>
        <s v="2024-10-20"/>
        <s v="2025-05-05"/>
        <s v="2024-03-26"/>
        <s v="2024-02-10"/>
        <s v="2024-09-29"/>
        <s v="2024-09-05"/>
        <s v="2024-09-17"/>
        <s v="2025-02-08"/>
        <s v="2024-12-21"/>
        <s v="2024-07-06"/>
        <s v="2024-04-24"/>
        <s v="2025-05-09"/>
        <s v="2024-10-05"/>
        <s v="2024-05-31"/>
        <s v="2024-12-25"/>
        <s v="2024-09-04"/>
        <s v="2024-03-30"/>
        <s v="2024-07-17"/>
        <s v="2024-12-24"/>
        <s v="2025-05-10"/>
        <s v="2024-03-11"/>
        <s v="2025-04-15"/>
        <s v="2024-04-02"/>
        <s v="2025-04-25"/>
        <s v="2024-07-05"/>
        <s v="2024-02-12"/>
        <s v="2024-02-05"/>
        <s v="2024-04-21"/>
        <s v="2024-05-20"/>
        <s v="2024-10-27"/>
        <s v="2024-08-20"/>
        <s v="2024-07-10"/>
        <s v="2024-05-25"/>
        <s v="2024-09-15"/>
        <s v="2024-06-28"/>
        <s v="2025-02-25"/>
        <s v="2024-03-16"/>
        <s v="2024-02-13"/>
        <s v="2025-02-15"/>
        <s v="2025-04-03"/>
        <s v="2024-07-12"/>
        <s v="2024-12-10"/>
        <s v="2025-03-10"/>
        <s v="2024-04-30"/>
        <s v="2024-01-31"/>
        <s v="2024-08-15"/>
        <s v="2024-03-05"/>
        <s v="2024-12-06"/>
        <s v="2024-08-27"/>
        <s v="2024-08-11"/>
        <s v="2024-07-22"/>
        <s v="2024-10-04"/>
        <s v="2024-01-24"/>
        <s v="2024-09-28"/>
        <s v="2024-02-16"/>
        <s v="2024-12-12"/>
        <s v="2024-02-20"/>
        <s v="2025-01-24"/>
        <s v="2024-06-06"/>
        <s v="2025-05-02"/>
        <s v="2024-02-01"/>
        <s v="2025-05-08"/>
        <s v="2024-10-10"/>
        <s v="2024-02-06"/>
        <s v="2024-05-03"/>
        <s v="2024-04-22"/>
        <s v="2024-02-23"/>
        <s v="2025-01-07"/>
        <s v="2025-03-08"/>
        <s v="2024-10-13"/>
        <s v="2024-09-24"/>
        <s v="2024-01-28"/>
        <s v="2024-10-12"/>
        <s v="2025-05-13"/>
        <s v="2025-02-20"/>
        <s v="2025-03-07"/>
        <s v="2024-05-11"/>
        <s v="2025-02-09"/>
        <s v="2025-02-17"/>
        <s v="2024-02-03"/>
        <s v="2024-02-11"/>
        <s v="2025-02-02"/>
        <s v="2024-06-03"/>
        <s v="2024-10-24"/>
        <s v="2024-07-19"/>
        <s v="2024-04-10"/>
        <s v="2024-07-11"/>
        <s v="2024-07-14"/>
        <s v="2025-03-18"/>
        <s v="2024-01-09"/>
        <s v="2024-11-07"/>
        <s v="2025-02-28"/>
        <s v="2024-05-01"/>
        <s v="2024-05-18"/>
        <s v="2024-05-29"/>
        <s v="2024-12-22"/>
        <s v="2024-03-24"/>
        <s v="2024-04-07"/>
        <s v="2025-02-11"/>
        <s v="2025-01-06"/>
        <s v="2025-02-27"/>
        <s v="2024-03-25"/>
        <s v="2025-01-13"/>
        <s v="2024-11-10"/>
        <s v="2024-04-11"/>
        <s v="2024-01-23"/>
        <s v="2024-10-30"/>
        <s v="2024-11-23"/>
        <s v="2024-04-25"/>
        <s v="2024-06-05"/>
        <s v="2024-06-13"/>
        <s v="2024-01-22"/>
        <s v="2025-03-24"/>
        <s v="2024-04-29"/>
        <s v="2025-04-14"/>
        <s v="2024-11-17"/>
        <s v="2025-01-20"/>
        <s v="2024-07-13"/>
        <s v="2024-02-17"/>
        <s v="2024-11-15"/>
        <s v="2025-02-05"/>
        <s v="2024-04-08"/>
        <s v="2024-06-14"/>
        <s v="2024-08-18"/>
        <s v="2024-11-30"/>
        <s v="2024-12-26"/>
        <s v="2024-04-20"/>
        <s v="2025-05-07"/>
        <s v="2024-05-21"/>
        <s v="2025-01-04"/>
        <s v="2024-04-15"/>
        <s v="2024-05-04"/>
        <s v="2024-06-07"/>
        <s v="2024-08-02"/>
        <s v="2024-08-29"/>
        <s v="2024-01-27"/>
        <s v="2024-01-15"/>
        <s v="2024-03-03"/>
        <s v="2025-01-14"/>
        <s v="2024-07-30"/>
        <s v="2024-08-16"/>
        <s v="2024-08-05"/>
        <s v="2025-01-25"/>
        <s v="2024-10-23"/>
        <s v="2025-01-21"/>
        <s v="2024-09-02"/>
        <s v="2024-01-21"/>
        <s v="2024-11-24"/>
        <s v="2025-01-27"/>
        <s v="2024-12-19"/>
        <s v="2024-09-23"/>
        <s v="2024-07-08"/>
        <s v="2025-03-29"/>
        <s v="2025-01-22"/>
        <s v="2024-08-22"/>
        <s v="2024-07-04"/>
        <s v="2024-04-05"/>
        <s v="2025-01-28"/>
        <s v="2024-12-15"/>
        <s v="2024-11-16"/>
        <s v="2024-10-09"/>
        <s v="2024-12-16"/>
        <s v="2025-01-10"/>
        <s v="2024-10-15"/>
        <s v="2024-12-30"/>
        <s v="2024-12-02"/>
        <s v="2024-05-22"/>
        <s v="2024-01-04"/>
        <s v="2025-02-07"/>
        <s v="2025-02-16"/>
        <s v="2024-10-22"/>
        <s v="2024-06-27"/>
        <s v="2024-09-01"/>
        <s v="2025-03-22"/>
        <s v="2024-09-22"/>
        <s v="2024-10-21"/>
        <s v="2025-01-26"/>
        <s v="2025-03-12"/>
        <s v="2025-03-27"/>
        <s v="2024-10-03"/>
        <s v="2025-04-20"/>
        <s v="2024-07-29"/>
        <s v="2025-04-30"/>
        <s v="2024-01-25"/>
        <s v="2024-09-14"/>
        <s v="2024-03-06"/>
        <s v="2024-04-26"/>
        <s v="2024-07-26"/>
        <s v="2025-04-22"/>
        <s v="2024-01-17"/>
        <s v="2024-03-20"/>
        <s v="2024-09-08"/>
        <s v="2024-06-12"/>
        <s v="2024-01-06"/>
        <s v="2025-02-19"/>
        <s v="2025-02-13"/>
        <s v="2024-08-12"/>
        <s v="2024-09-25"/>
        <s v="2024-10-01"/>
        <s v="2025-04-29"/>
        <s v="2025-04-05"/>
        <s v="2025-04-28"/>
        <s v="2025-04-18"/>
        <s v="2024-02-25"/>
        <s v="2025-03-28"/>
        <s v="2024-07-21"/>
        <s v="2024-06-23"/>
        <s v="2025-02-23"/>
        <s v="2025-04-23"/>
        <s v="2024-08-28"/>
        <s v="2024-06-25"/>
        <s v="2024-10-08"/>
        <s v="2024-05-14"/>
        <s v="2024-08-31"/>
        <s v="2025-04-09"/>
        <s v="2024-06-29"/>
        <s v="2024-05-28"/>
        <s v="2024-05-24"/>
        <s v="2024-12-11"/>
        <s v="2025-04-11"/>
        <s v="2025-05-12"/>
        <s v="2025-05-03"/>
        <s v="2024-04-27"/>
        <s v="2024-12-04"/>
        <s v="2025-03-04"/>
        <s v="2025-03-05"/>
        <s v="2024-04-01"/>
        <s v="2024-09-11"/>
        <s v="2024-07-31"/>
        <s v="2025-05-15"/>
        <s v="2024-08-23"/>
        <s v="2024-04-18"/>
        <s v="2024-05-05"/>
        <s v="2024-07-03"/>
        <s v="2024-11-08"/>
      </sharedItems>
    </cacheField>
    <cacheField name="City" numFmtId="0">
      <sharedItems count="5">
        <s v="Nis"/>
        <s v="Novi Sad"/>
        <s v="Belgrade"/>
        <s v="Becej"/>
        <s v="Subotica"/>
      </sharedItems>
    </cacheField>
    <cacheField name="Agent Name" numFmtId="0">
      <sharedItems count="5">
        <s v="Mina Lukic"/>
        <s v="Ivan Stankovic"/>
        <s v="Jelena Petrovic"/>
        <s v="Marko Jovic"/>
        <s v="Ana Markovic"/>
      </sharedItems>
    </cacheField>
    <cacheField name="Month" numFmtId="0">
      <sharedItems count="17">
        <s v="2024-07"/>
        <s v="2025-04"/>
        <s v="2025-01"/>
        <s v="2024-04"/>
        <s v="2025-02"/>
        <s v="2024-11"/>
        <s v="2024-03"/>
        <s v="2024-08"/>
        <s v="2024-01"/>
        <s v="2025-03"/>
        <s v="2024-12"/>
        <s v="2024-09"/>
        <s v="2024-10"/>
        <s v="2024-02"/>
        <s v="2024-05"/>
        <s v="2024-06"/>
        <s v="2025-05"/>
      </sharedItems>
    </cacheField>
    <cacheField name="Performance" numFmtId="0">
      <sharedItems count="2">
        <s v="Luxury"/>
        <s v="Standard"/>
      </sharedItems>
    </cacheField>
    <cacheField name="Commission Level" numFmtId="0">
      <sharedItems/>
    </cacheField>
    <cacheField name="Priority Deal" numFmtId="0">
      <sharedItems/>
    </cacheField>
    <cacheField name="Attention Needed" numFmtId="0">
      <sharedItems/>
    </cacheField>
    <cacheField name="Listing Price" numFmtId="164">
      <sharedItems containsSemiMixedTypes="0" containsString="0" containsNumber="1" containsInteger="1" minValue="30850" maxValue="248866"/>
    </cacheField>
  </cacheFields>
  <extLst>
    <ext xmlns:x14="http://schemas.microsoft.com/office/spreadsheetml/2009/9/main" uri="{725AE2AE-9491-48be-B2B4-4EB974FC3084}">
      <x14:pivotCacheDefinition pivotCacheId="142132620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vena" refreshedDate="46153.555363194442" createdVersion="8" refreshedVersion="8" minRefreshableVersion="3" recordCount="300" xr:uid="{966418BE-64D9-42D3-AB67-1EFA68DC2E5F}">
  <cacheSource type="worksheet">
    <worksheetSource name="Table1"/>
  </cacheSource>
  <cacheFields count="5">
    <cacheField name="PropertyID" numFmtId="0">
      <sharedItems containsSemiMixedTypes="0" containsString="0" containsNumber="1" containsInteger="1" minValue="1" maxValue="300"/>
    </cacheField>
    <cacheField name="City" numFmtId="0">
      <sharedItems/>
    </cacheField>
    <cacheField name="Type" numFmtId="0">
      <sharedItems count="4">
        <s v="Apartment"/>
        <s v="House"/>
        <s v="Studio"/>
        <s v="Villa"/>
      </sharedItems>
    </cacheField>
    <cacheField name="ListingPrice" numFmtId="164">
      <sharedItems containsSemiMixedTypes="0" containsString="0" containsNumber="1" containsInteger="1" minValue="30850" maxValue="249998"/>
    </cacheField>
    <cacheField name="ListedDate" numFmtId="1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350"/>
    <n v="221"/>
    <n v="8"/>
    <n v="298666"/>
    <x v="0"/>
    <x v="0"/>
    <x v="0"/>
    <x v="0"/>
    <x v="0"/>
    <x v="0"/>
    <s v="High"/>
    <s v="No"/>
    <s v="Attention Needed"/>
    <n v="56352"/>
  </r>
  <r>
    <n v="462"/>
    <n v="43"/>
    <n v="5"/>
    <n v="298070"/>
    <x v="1"/>
    <x v="1"/>
    <x v="1"/>
    <x v="0"/>
    <x v="1"/>
    <x v="0"/>
    <s v="High"/>
    <s v="Yes"/>
    <s v="Ok"/>
    <n v="187009"/>
  </r>
  <r>
    <n v="377"/>
    <n v="51"/>
    <n v="5"/>
    <n v="297741"/>
    <x v="1"/>
    <x v="2"/>
    <x v="0"/>
    <x v="0"/>
    <x v="2"/>
    <x v="0"/>
    <s v="High"/>
    <s v="Yes"/>
    <s v="Ok"/>
    <n v="216895"/>
  </r>
  <r>
    <n v="452"/>
    <n v="14"/>
    <n v="5"/>
    <n v="297136"/>
    <x v="1"/>
    <x v="3"/>
    <x v="0"/>
    <x v="0"/>
    <x v="3"/>
    <x v="0"/>
    <s v="High"/>
    <s v="Yes"/>
    <s v="Ok"/>
    <n v="247423"/>
  </r>
  <r>
    <n v="215"/>
    <n v="188"/>
    <n v="3"/>
    <n v="296926"/>
    <x v="1"/>
    <x v="4"/>
    <x v="2"/>
    <x v="1"/>
    <x v="0"/>
    <x v="0"/>
    <s v="High"/>
    <s v="Yes"/>
    <s v="Ok"/>
    <n v="111536"/>
  </r>
  <r>
    <n v="141"/>
    <n v="185"/>
    <n v="2"/>
    <n v="295985"/>
    <x v="0"/>
    <x v="5"/>
    <x v="3"/>
    <x v="2"/>
    <x v="4"/>
    <x v="0"/>
    <s v="High"/>
    <s v="No"/>
    <s v="Attention Needed"/>
    <n v="177841"/>
  </r>
  <r>
    <n v="97"/>
    <n v="47"/>
    <n v="10"/>
    <n v="295849"/>
    <x v="0"/>
    <x v="6"/>
    <x v="3"/>
    <x v="3"/>
    <x v="0"/>
    <x v="0"/>
    <s v="High"/>
    <s v="No"/>
    <s v="Attention Needed"/>
    <n v="229387"/>
  </r>
  <r>
    <n v="49"/>
    <n v="272"/>
    <n v="5"/>
    <n v="295054"/>
    <x v="2"/>
    <x v="7"/>
    <x v="2"/>
    <x v="0"/>
    <x v="5"/>
    <x v="0"/>
    <s v="High"/>
    <s v="No"/>
    <s v="Attention Needed"/>
    <n v="54434"/>
  </r>
  <r>
    <n v="263"/>
    <n v="158"/>
    <n v="3"/>
    <n v="293465"/>
    <x v="2"/>
    <x v="8"/>
    <x v="0"/>
    <x v="1"/>
    <x v="1"/>
    <x v="0"/>
    <s v="High"/>
    <s v="No"/>
    <s v="Attention Needed"/>
    <n v="194298"/>
  </r>
  <r>
    <n v="228"/>
    <n v="212"/>
    <n v="4"/>
    <n v="293097"/>
    <x v="2"/>
    <x v="9"/>
    <x v="2"/>
    <x v="3"/>
    <x v="2"/>
    <x v="0"/>
    <s v="High"/>
    <s v="No"/>
    <s v="Attention Needed"/>
    <n v="88090"/>
  </r>
  <r>
    <n v="379"/>
    <n v="192"/>
    <n v="7"/>
    <n v="292388"/>
    <x v="2"/>
    <x v="10"/>
    <x v="4"/>
    <x v="4"/>
    <x v="6"/>
    <x v="0"/>
    <s v="High"/>
    <s v="No"/>
    <s v="Attention Needed"/>
    <n v="238726"/>
  </r>
  <r>
    <n v="155"/>
    <n v="96"/>
    <n v="8"/>
    <n v="290845"/>
    <x v="0"/>
    <x v="11"/>
    <x v="0"/>
    <x v="0"/>
    <x v="0"/>
    <x v="0"/>
    <s v="High"/>
    <s v="No"/>
    <s v="Attention Needed"/>
    <n v="205076"/>
  </r>
  <r>
    <n v="311"/>
    <n v="134"/>
    <n v="6"/>
    <n v="290716"/>
    <x v="0"/>
    <x v="12"/>
    <x v="3"/>
    <x v="3"/>
    <x v="7"/>
    <x v="0"/>
    <s v="High"/>
    <s v="No"/>
    <s v="Attention Needed"/>
    <n v="135486"/>
  </r>
  <r>
    <n v="405"/>
    <n v="197"/>
    <n v="9"/>
    <n v="289506"/>
    <x v="0"/>
    <x v="13"/>
    <x v="4"/>
    <x v="1"/>
    <x v="0"/>
    <x v="0"/>
    <s v="High"/>
    <s v="No"/>
    <s v="Attention Needed"/>
    <n v="215416"/>
  </r>
  <r>
    <n v="91"/>
    <n v="39"/>
    <n v="3"/>
    <n v="289059"/>
    <x v="0"/>
    <x v="14"/>
    <x v="1"/>
    <x v="1"/>
    <x v="7"/>
    <x v="0"/>
    <s v="High"/>
    <s v="No"/>
    <s v="Attention Needed"/>
    <n v="30850"/>
  </r>
  <r>
    <n v="177"/>
    <n v="103"/>
    <n v="3"/>
    <n v="289009"/>
    <x v="1"/>
    <x v="15"/>
    <x v="3"/>
    <x v="1"/>
    <x v="8"/>
    <x v="0"/>
    <s v="High"/>
    <s v="Yes"/>
    <s v="Ok"/>
    <n v="41557"/>
  </r>
  <r>
    <n v="252"/>
    <n v="172"/>
    <n v="5"/>
    <n v="288952"/>
    <x v="2"/>
    <x v="16"/>
    <x v="3"/>
    <x v="0"/>
    <x v="9"/>
    <x v="0"/>
    <s v="High"/>
    <s v="No"/>
    <s v="Attention Needed"/>
    <n v="152523"/>
  </r>
  <r>
    <n v="484"/>
    <n v="125"/>
    <n v="8"/>
    <n v="288663"/>
    <x v="2"/>
    <x v="17"/>
    <x v="4"/>
    <x v="0"/>
    <x v="2"/>
    <x v="0"/>
    <s v="High"/>
    <s v="No"/>
    <s v="Attention Needed"/>
    <n v="182198"/>
  </r>
  <r>
    <n v="220"/>
    <n v="173"/>
    <n v="9"/>
    <n v="286820"/>
    <x v="0"/>
    <x v="18"/>
    <x v="1"/>
    <x v="1"/>
    <x v="10"/>
    <x v="0"/>
    <s v="High"/>
    <s v="No"/>
    <s v="Attention Needed"/>
    <n v="133290"/>
  </r>
  <r>
    <n v="393"/>
    <n v="235"/>
    <n v="2"/>
    <n v="286630"/>
    <x v="2"/>
    <x v="19"/>
    <x v="3"/>
    <x v="2"/>
    <x v="11"/>
    <x v="0"/>
    <s v="High"/>
    <s v="No"/>
    <s v="Attention Needed"/>
    <n v="146056"/>
  </r>
  <r>
    <n v="318"/>
    <n v="181"/>
    <n v="3"/>
    <n v="286018"/>
    <x v="1"/>
    <x v="20"/>
    <x v="2"/>
    <x v="1"/>
    <x v="3"/>
    <x v="0"/>
    <s v="High"/>
    <s v="Yes"/>
    <s v="Ok"/>
    <n v="88778"/>
  </r>
  <r>
    <n v="400"/>
    <n v="197"/>
    <n v="7"/>
    <n v="285155"/>
    <x v="1"/>
    <x v="21"/>
    <x v="4"/>
    <x v="4"/>
    <x v="5"/>
    <x v="0"/>
    <s v="High"/>
    <s v="Yes"/>
    <s v="Ok"/>
    <n v="215416"/>
  </r>
  <r>
    <n v="123"/>
    <n v="129"/>
    <n v="1"/>
    <n v="281967"/>
    <x v="0"/>
    <x v="22"/>
    <x v="2"/>
    <x v="4"/>
    <x v="9"/>
    <x v="0"/>
    <s v="High"/>
    <s v="No"/>
    <s v="Attention Needed"/>
    <n v="181149"/>
  </r>
  <r>
    <n v="372"/>
    <n v="194"/>
    <n v="2"/>
    <n v="281257"/>
    <x v="2"/>
    <x v="23"/>
    <x v="4"/>
    <x v="2"/>
    <x v="12"/>
    <x v="0"/>
    <s v="High"/>
    <s v="No"/>
    <s v="Attention Needed"/>
    <n v="162634"/>
  </r>
  <r>
    <n v="307"/>
    <n v="98"/>
    <n v="2"/>
    <n v="281092"/>
    <x v="0"/>
    <x v="24"/>
    <x v="1"/>
    <x v="2"/>
    <x v="1"/>
    <x v="0"/>
    <s v="High"/>
    <s v="No"/>
    <s v="Attention Needed"/>
    <n v="60258"/>
  </r>
  <r>
    <n v="180"/>
    <n v="159"/>
    <n v="7"/>
    <n v="280958"/>
    <x v="0"/>
    <x v="25"/>
    <x v="4"/>
    <x v="4"/>
    <x v="11"/>
    <x v="0"/>
    <s v="High"/>
    <s v="No"/>
    <s v="Attention Needed"/>
    <n v="50311"/>
  </r>
  <r>
    <n v="147"/>
    <n v="90"/>
    <n v="8"/>
    <n v="280888"/>
    <x v="0"/>
    <x v="26"/>
    <x v="2"/>
    <x v="0"/>
    <x v="5"/>
    <x v="0"/>
    <s v="High"/>
    <s v="No"/>
    <s v="Attention Needed"/>
    <n v="150136"/>
  </r>
  <r>
    <n v="230"/>
    <n v="107"/>
    <n v="9"/>
    <n v="280804"/>
    <x v="2"/>
    <x v="25"/>
    <x v="1"/>
    <x v="1"/>
    <x v="11"/>
    <x v="0"/>
    <s v="High"/>
    <s v="No"/>
    <s v="Attention Needed"/>
    <n v="248784"/>
  </r>
  <r>
    <n v="265"/>
    <n v="114"/>
    <n v="4"/>
    <n v="280705"/>
    <x v="1"/>
    <x v="27"/>
    <x v="1"/>
    <x v="3"/>
    <x v="6"/>
    <x v="0"/>
    <s v="High"/>
    <s v="Yes"/>
    <s v="Ok"/>
    <n v="36497"/>
  </r>
  <r>
    <n v="439"/>
    <n v="49"/>
    <n v="1"/>
    <n v="279984"/>
    <x v="1"/>
    <x v="28"/>
    <x v="0"/>
    <x v="4"/>
    <x v="13"/>
    <x v="0"/>
    <s v="High"/>
    <s v="Yes"/>
    <s v="Ok"/>
    <n v="99483"/>
  </r>
  <r>
    <n v="99"/>
    <n v="293"/>
    <n v="4"/>
    <n v="279366"/>
    <x v="2"/>
    <x v="29"/>
    <x v="4"/>
    <x v="3"/>
    <x v="11"/>
    <x v="0"/>
    <s v="High"/>
    <s v="No"/>
    <s v="Attention Needed"/>
    <n v="193383"/>
  </r>
  <r>
    <n v="54"/>
    <n v="131"/>
    <n v="6"/>
    <n v="278652"/>
    <x v="1"/>
    <x v="30"/>
    <x v="2"/>
    <x v="3"/>
    <x v="13"/>
    <x v="0"/>
    <s v="High"/>
    <s v="Yes"/>
    <s v="Ok"/>
    <n v="125478"/>
  </r>
  <r>
    <n v="244"/>
    <n v="52"/>
    <n v="7"/>
    <n v="277675"/>
    <x v="2"/>
    <x v="31"/>
    <x v="3"/>
    <x v="4"/>
    <x v="13"/>
    <x v="0"/>
    <s v="High"/>
    <s v="No"/>
    <s v="Attention Needed"/>
    <n v="144845"/>
  </r>
  <r>
    <n v="208"/>
    <n v="254"/>
    <n v="10"/>
    <n v="276723"/>
    <x v="0"/>
    <x v="32"/>
    <x v="1"/>
    <x v="3"/>
    <x v="14"/>
    <x v="0"/>
    <s v="High"/>
    <s v="No"/>
    <s v="Attention Needed"/>
    <n v="230477"/>
  </r>
  <r>
    <n v="132"/>
    <n v="242"/>
    <n v="3"/>
    <n v="275948"/>
    <x v="0"/>
    <x v="33"/>
    <x v="3"/>
    <x v="1"/>
    <x v="7"/>
    <x v="0"/>
    <s v="High"/>
    <s v="No"/>
    <s v="Attention Needed"/>
    <n v="38556"/>
  </r>
  <r>
    <n v="204"/>
    <n v="82"/>
    <n v="8"/>
    <n v="274745"/>
    <x v="0"/>
    <x v="34"/>
    <x v="0"/>
    <x v="0"/>
    <x v="11"/>
    <x v="0"/>
    <s v="High"/>
    <s v="No"/>
    <s v="Attention Needed"/>
    <n v="78712"/>
  </r>
  <r>
    <n v="497"/>
    <n v="55"/>
    <n v="3"/>
    <n v="274347"/>
    <x v="2"/>
    <x v="35"/>
    <x v="0"/>
    <x v="1"/>
    <x v="15"/>
    <x v="0"/>
    <s v="High"/>
    <s v="No"/>
    <s v="Attention Needed"/>
    <n v="184256"/>
  </r>
  <r>
    <n v="182"/>
    <n v="163"/>
    <n v="2"/>
    <n v="274230"/>
    <x v="2"/>
    <x v="36"/>
    <x v="1"/>
    <x v="2"/>
    <x v="10"/>
    <x v="0"/>
    <s v="High"/>
    <s v="No"/>
    <s v="Attention Needed"/>
    <n v="138755"/>
  </r>
  <r>
    <n v="23"/>
    <n v="114"/>
    <n v="2"/>
    <n v="273409"/>
    <x v="0"/>
    <x v="37"/>
    <x v="1"/>
    <x v="2"/>
    <x v="1"/>
    <x v="0"/>
    <s v="High"/>
    <s v="No"/>
    <s v="Attention Needed"/>
    <n v="36497"/>
  </r>
  <r>
    <n v="499"/>
    <n v="107"/>
    <n v="8"/>
    <n v="272927"/>
    <x v="2"/>
    <x v="38"/>
    <x v="1"/>
    <x v="0"/>
    <x v="14"/>
    <x v="0"/>
    <s v="High"/>
    <s v="No"/>
    <s v="Attention Needed"/>
    <n v="248784"/>
  </r>
  <r>
    <n v="95"/>
    <n v="260"/>
    <n v="2"/>
    <n v="272086"/>
    <x v="2"/>
    <x v="39"/>
    <x v="2"/>
    <x v="2"/>
    <x v="7"/>
    <x v="0"/>
    <s v="High"/>
    <s v="No"/>
    <s v="Attention Needed"/>
    <n v="116456"/>
  </r>
  <r>
    <n v="368"/>
    <n v="282"/>
    <n v="1"/>
    <n v="272022"/>
    <x v="0"/>
    <x v="40"/>
    <x v="0"/>
    <x v="4"/>
    <x v="1"/>
    <x v="0"/>
    <s v="High"/>
    <s v="No"/>
    <s v="Attention Needed"/>
    <n v="120472"/>
  </r>
  <r>
    <n v="285"/>
    <n v="195"/>
    <n v="4"/>
    <n v="271500"/>
    <x v="1"/>
    <x v="41"/>
    <x v="4"/>
    <x v="3"/>
    <x v="15"/>
    <x v="0"/>
    <s v="High"/>
    <s v="Yes"/>
    <s v="Ok"/>
    <n v="140115"/>
  </r>
  <r>
    <n v="83"/>
    <n v="11"/>
    <n v="6"/>
    <n v="271223"/>
    <x v="1"/>
    <x v="42"/>
    <x v="2"/>
    <x v="3"/>
    <x v="9"/>
    <x v="0"/>
    <s v="High"/>
    <s v="Yes"/>
    <s v="Ok"/>
    <n v="120165"/>
  </r>
  <r>
    <n v="231"/>
    <n v="193"/>
    <n v="6"/>
    <n v="270996"/>
    <x v="1"/>
    <x v="43"/>
    <x v="2"/>
    <x v="3"/>
    <x v="1"/>
    <x v="0"/>
    <s v="High"/>
    <s v="Yes"/>
    <s v="Ok"/>
    <n v="169655"/>
  </r>
  <r>
    <n v="254"/>
    <n v="58"/>
    <n v="6"/>
    <n v="270603"/>
    <x v="1"/>
    <x v="44"/>
    <x v="2"/>
    <x v="3"/>
    <x v="5"/>
    <x v="0"/>
    <s v="High"/>
    <s v="Yes"/>
    <s v="Ok"/>
    <n v="48574"/>
  </r>
  <r>
    <n v="427"/>
    <n v="2"/>
    <n v="2"/>
    <n v="270359"/>
    <x v="0"/>
    <x v="21"/>
    <x v="1"/>
    <x v="2"/>
    <x v="5"/>
    <x v="0"/>
    <s v="High"/>
    <s v="No"/>
    <s v="Attention Needed"/>
    <n v="66579"/>
  </r>
  <r>
    <n v="395"/>
    <n v="59"/>
    <n v="6"/>
    <n v="270050"/>
    <x v="2"/>
    <x v="45"/>
    <x v="1"/>
    <x v="3"/>
    <x v="5"/>
    <x v="0"/>
    <s v="High"/>
    <s v="No"/>
    <s v="Attention Needed"/>
    <n v="205368"/>
  </r>
  <r>
    <n v="148"/>
    <n v="94"/>
    <n v="3"/>
    <n v="269955"/>
    <x v="1"/>
    <x v="46"/>
    <x v="4"/>
    <x v="1"/>
    <x v="8"/>
    <x v="0"/>
    <s v="High"/>
    <s v="Yes"/>
    <s v="Ok"/>
    <n v="144867"/>
  </r>
  <r>
    <n v="409"/>
    <n v="276"/>
    <n v="5"/>
    <n v="269768"/>
    <x v="1"/>
    <x v="47"/>
    <x v="3"/>
    <x v="0"/>
    <x v="12"/>
    <x v="0"/>
    <s v="High"/>
    <s v="Yes"/>
    <s v="Ok"/>
    <n v="93892"/>
  </r>
  <r>
    <n v="136"/>
    <n v="123"/>
    <n v="7"/>
    <n v="269659"/>
    <x v="0"/>
    <x v="48"/>
    <x v="0"/>
    <x v="4"/>
    <x v="13"/>
    <x v="0"/>
    <s v="High"/>
    <s v="No"/>
    <s v="Attention Needed"/>
    <n v="208131"/>
  </r>
  <r>
    <n v="217"/>
    <n v="171"/>
    <n v="8"/>
    <n v="269593"/>
    <x v="0"/>
    <x v="49"/>
    <x v="3"/>
    <x v="0"/>
    <x v="6"/>
    <x v="0"/>
    <s v="High"/>
    <s v="No"/>
    <s v="Attention Needed"/>
    <n v="205341"/>
  </r>
  <r>
    <n v="482"/>
    <n v="160"/>
    <n v="6"/>
    <n v="269466"/>
    <x v="1"/>
    <x v="50"/>
    <x v="4"/>
    <x v="3"/>
    <x v="8"/>
    <x v="0"/>
    <s v="High"/>
    <s v="Yes"/>
    <s v="Ok"/>
    <n v="101228"/>
  </r>
  <r>
    <n v="472"/>
    <n v="296"/>
    <n v="2"/>
    <n v="268654"/>
    <x v="2"/>
    <x v="51"/>
    <x v="3"/>
    <x v="2"/>
    <x v="11"/>
    <x v="0"/>
    <s v="High"/>
    <s v="No"/>
    <s v="Attention Needed"/>
    <n v="191863"/>
  </r>
  <r>
    <n v="195"/>
    <n v="126"/>
    <n v="7"/>
    <n v="267787"/>
    <x v="2"/>
    <x v="52"/>
    <x v="4"/>
    <x v="4"/>
    <x v="13"/>
    <x v="0"/>
    <s v="High"/>
    <s v="No"/>
    <s v="Attention Needed"/>
    <n v="58417"/>
  </r>
  <r>
    <n v="52"/>
    <n v="117"/>
    <n v="7"/>
    <n v="267764"/>
    <x v="2"/>
    <x v="53"/>
    <x v="2"/>
    <x v="4"/>
    <x v="0"/>
    <x v="0"/>
    <s v="High"/>
    <s v="No"/>
    <s v="Attention Needed"/>
    <n v="40151"/>
  </r>
  <r>
    <n v="273"/>
    <n v="262"/>
    <n v="8"/>
    <n v="267729"/>
    <x v="1"/>
    <x v="54"/>
    <x v="3"/>
    <x v="0"/>
    <x v="6"/>
    <x v="0"/>
    <s v="High"/>
    <s v="Yes"/>
    <s v="Ok"/>
    <n v="149229"/>
  </r>
  <r>
    <n v="424"/>
    <n v="138"/>
    <n v="7"/>
    <n v="266973"/>
    <x v="2"/>
    <x v="55"/>
    <x v="2"/>
    <x v="4"/>
    <x v="13"/>
    <x v="0"/>
    <s v="High"/>
    <s v="No"/>
    <s v="Attention Needed"/>
    <n v="105212"/>
  </r>
  <r>
    <n v="51"/>
    <n v="283"/>
    <n v="4"/>
    <n v="266744"/>
    <x v="2"/>
    <x v="56"/>
    <x v="0"/>
    <x v="3"/>
    <x v="9"/>
    <x v="0"/>
    <s v="High"/>
    <s v="No"/>
    <s v="Attention Needed"/>
    <n v="149365"/>
  </r>
  <r>
    <n v="125"/>
    <n v="43"/>
    <n v="3"/>
    <n v="265572"/>
    <x v="2"/>
    <x v="57"/>
    <x v="1"/>
    <x v="1"/>
    <x v="1"/>
    <x v="0"/>
    <s v="High"/>
    <s v="No"/>
    <s v="Attention Needed"/>
    <n v="187009"/>
  </r>
  <r>
    <n v="268"/>
    <n v="127"/>
    <n v="10"/>
    <n v="264224"/>
    <x v="1"/>
    <x v="19"/>
    <x v="3"/>
    <x v="3"/>
    <x v="11"/>
    <x v="0"/>
    <s v="High"/>
    <s v="Yes"/>
    <s v="Ok"/>
    <n v="220983"/>
  </r>
  <r>
    <n v="173"/>
    <n v="38"/>
    <n v="8"/>
    <n v="263366"/>
    <x v="1"/>
    <x v="58"/>
    <x v="4"/>
    <x v="0"/>
    <x v="13"/>
    <x v="0"/>
    <s v="High"/>
    <s v="Yes"/>
    <s v="Ok"/>
    <n v="106939"/>
  </r>
  <r>
    <n v="440"/>
    <n v="68"/>
    <n v="10"/>
    <n v="263343"/>
    <x v="1"/>
    <x v="50"/>
    <x v="1"/>
    <x v="3"/>
    <x v="8"/>
    <x v="0"/>
    <s v="High"/>
    <s v="Yes"/>
    <s v="Ok"/>
    <n v="151275"/>
  </r>
  <r>
    <n v="406"/>
    <n v="252"/>
    <n v="7"/>
    <n v="262706"/>
    <x v="0"/>
    <x v="59"/>
    <x v="0"/>
    <x v="4"/>
    <x v="11"/>
    <x v="0"/>
    <s v="High"/>
    <s v="No"/>
    <s v="Attention Needed"/>
    <n v="143253"/>
  </r>
  <r>
    <n v="447"/>
    <n v="78"/>
    <n v="7"/>
    <n v="261936"/>
    <x v="0"/>
    <x v="60"/>
    <x v="4"/>
    <x v="4"/>
    <x v="9"/>
    <x v="0"/>
    <s v="High"/>
    <s v="No"/>
    <s v="Attention Needed"/>
    <n v="45331"/>
  </r>
  <r>
    <n v="239"/>
    <n v="148"/>
    <n v="2"/>
    <n v="261932"/>
    <x v="2"/>
    <x v="61"/>
    <x v="3"/>
    <x v="2"/>
    <x v="10"/>
    <x v="0"/>
    <s v="High"/>
    <s v="No"/>
    <s v="Attention Needed"/>
    <n v="134766"/>
  </r>
  <r>
    <n v="11"/>
    <n v="50"/>
    <n v="1"/>
    <n v="261118"/>
    <x v="2"/>
    <x v="62"/>
    <x v="0"/>
    <x v="4"/>
    <x v="8"/>
    <x v="0"/>
    <s v="High"/>
    <s v="No"/>
    <s v="Attention Needed"/>
    <n v="85521"/>
  </r>
  <r>
    <n v="120"/>
    <n v="241"/>
    <n v="4"/>
    <n v="260999"/>
    <x v="2"/>
    <x v="63"/>
    <x v="3"/>
    <x v="3"/>
    <x v="7"/>
    <x v="0"/>
    <s v="High"/>
    <s v="No"/>
    <s v="Attention Needed"/>
    <n v="210714"/>
  </r>
  <r>
    <n v="414"/>
    <n v="135"/>
    <n v="6"/>
    <n v="260199"/>
    <x v="1"/>
    <x v="64"/>
    <x v="4"/>
    <x v="3"/>
    <x v="9"/>
    <x v="0"/>
    <s v="High"/>
    <s v="Yes"/>
    <s v="Ok"/>
    <n v="80289"/>
  </r>
  <r>
    <n v="464"/>
    <n v="34"/>
    <n v="5"/>
    <n v="259368"/>
    <x v="0"/>
    <x v="65"/>
    <x v="3"/>
    <x v="0"/>
    <x v="2"/>
    <x v="0"/>
    <s v="High"/>
    <s v="No"/>
    <s v="Attention Needed"/>
    <n v="186208"/>
  </r>
  <r>
    <n v="333"/>
    <n v="88"/>
    <n v="2"/>
    <n v="257493"/>
    <x v="2"/>
    <x v="66"/>
    <x v="4"/>
    <x v="2"/>
    <x v="5"/>
    <x v="0"/>
    <s v="High"/>
    <s v="No"/>
    <s v="Attention Needed"/>
    <n v="99629"/>
  </r>
  <r>
    <n v="55"/>
    <n v="47"/>
    <n v="2"/>
    <n v="256427"/>
    <x v="1"/>
    <x v="67"/>
    <x v="3"/>
    <x v="2"/>
    <x v="13"/>
    <x v="0"/>
    <s v="High"/>
    <s v="Yes"/>
    <s v="Ok"/>
    <n v="229387"/>
  </r>
  <r>
    <n v="209"/>
    <n v="275"/>
    <n v="1"/>
    <n v="255930"/>
    <x v="1"/>
    <x v="68"/>
    <x v="0"/>
    <x v="4"/>
    <x v="6"/>
    <x v="0"/>
    <s v="High"/>
    <s v="Yes"/>
    <s v="Ok"/>
    <n v="138918"/>
  </r>
  <r>
    <n v="362"/>
    <n v="169"/>
    <n v="8"/>
    <n v="255766"/>
    <x v="2"/>
    <x v="69"/>
    <x v="3"/>
    <x v="0"/>
    <x v="4"/>
    <x v="0"/>
    <s v="High"/>
    <s v="No"/>
    <s v="Attention Needed"/>
    <n v="157986"/>
  </r>
  <r>
    <n v="73"/>
    <n v="263"/>
    <n v="2"/>
    <n v="255398"/>
    <x v="2"/>
    <x v="70"/>
    <x v="4"/>
    <x v="2"/>
    <x v="13"/>
    <x v="0"/>
    <s v="High"/>
    <s v="No"/>
    <s v="Attention Needed"/>
    <n v="114744"/>
  </r>
  <r>
    <n v="81"/>
    <n v="40"/>
    <n v="6"/>
    <n v="255068"/>
    <x v="0"/>
    <x v="71"/>
    <x v="4"/>
    <x v="3"/>
    <x v="12"/>
    <x v="0"/>
    <s v="High"/>
    <s v="No"/>
    <s v="Attention Needed"/>
    <n v="163085"/>
  </r>
  <r>
    <n v="53"/>
    <n v="213"/>
    <n v="2"/>
    <n v="253747"/>
    <x v="2"/>
    <x v="35"/>
    <x v="1"/>
    <x v="2"/>
    <x v="15"/>
    <x v="0"/>
    <s v="High"/>
    <s v="No"/>
    <s v="Attention Needed"/>
    <n v="204053"/>
  </r>
  <r>
    <n v="387"/>
    <n v="82"/>
    <n v="6"/>
    <n v="253540"/>
    <x v="0"/>
    <x v="72"/>
    <x v="0"/>
    <x v="3"/>
    <x v="16"/>
    <x v="0"/>
    <s v="High"/>
    <s v="No"/>
    <s v="Attention Needed"/>
    <n v="78712"/>
  </r>
  <r>
    <n v="159"/>
    <n v="229"/>
    <n v="10"/>
    <n v="253407"/>
    <x v="0"/>
    <x v="73"/>
    <x v="2"/>
    <x v="3"/>
    <x v="6"/>
    <x v="0"/>
    <s v="High"/>
    <s v="No"/>
    <s v="Attention Needed"/>
    <n v="155233"/>
  </r>
  <r>
    <n v="156"/>
    <n v="266"/>
    <n v="5"/>
    <n v="252560"/>
    <x v="1"/>
    <x v="74"/>
    <x v="1"/>
    <x v="0"/>
    <x v="13"/>
    <x v="0"/>
    <s v="High"/>
    <s v="Yes"/>
    <s v="Ok"/>
    <n v="193219"/>
  </r>
  <r>
    <n v="284"/>
    <n v="153"/>
    <n v="8"/>
    <n v="252365"/>
    <x v="0"/>
    <x v="75"/>
    <x v="3"/>
    <x v="0"/>
    <x v="11"/>
    <x v="0"/>
    <s v="High"/>
    <s v="No"/>
    <s v="Attention Needed"/>
    <n v="227984"/>
  </r>
  <r>
    <n v="71"/>
    <n v="42"/>
    <n v="5"/>
    <n v="252305"/>
    <x v="2"/>
    <x v="76"/>
    <x v="0"/>
    <x v="0"/>
    <x v="11"/>
    <x v="0"/>
    <s v="High"/>
    <s v="No"/>
    <s v="Attention Needed"/>
    <n v="70065"/>
  </r>
  <r>
    <n v="110"/>
    <n v="66"/>
    <n v="9"/>
    <n v="251986"/>
    <x v="1"/>
    <x v="77"/>
    <x v="4"/>
    <x v="1"/>
    <x v="11"/>
    <x v="0"/>
    <s v="High"/>
    <s v="Yes"/>
    <s v="Ok"/>
    <n v="95183"/>
  </r>
  <r>
    <n v="134"/>
    <n v="77"/>
    <n v="9"/>
    <n v="251907"/>
    <x v="0"/>
    <x v="70"/>
    <x v="0"/>
    <x v="1"/>
    <x v="13"/>
    <x v="0"/>
    <s v="High"/>
    <s v="No"/>
    <s v="Attention Needed"/>
    <n v="70579"/>
  </r>
  <r>
    <n v="371"/>
    <n v="130"/>
    <n v="3"/>
    <n v="251840"/>
    <x v="0"/>
    <x v="78"/>
    <x v="4"/>
    <x v="1"/>
    <x v="4"/>
    <x v="0"/>
    <s v="High"/>
    <s v="No"/>
    <s v="Attention Needed"/>
    <n v="215803"/>
  </r>
  <r>
    <n v="441"/>
    <n v="5"/>
    <n v="6"/>
    <n v="251414"/>
    <x v="1"/>
    <x v="79"/>
    <x v="1"/>
    <x v="3"/>
    <x v="10"/>
    <x v="0"/>
    <s v="High"/>
    <s v="Yes"/>
    <s v="Ok"/>
    <n v="177127"/>
  </r>
  <r>
    <n v="456"/>
    <n v="163"/>
    <n v="3"/>
    <n v="250653"/>
    <x v="2"/>
    <x v="80"/>
    <x v="1"/>
    <x v="1"/>
    <x v="0"/>
    <x v="0"/>
    <s v="High"/>
    <s v="No"/>
    <s v="Attention Needed"/>
    <n v="138755"/>
  </r>
  <r>
    <n v="477"/>
    <n v="77"/>
    <n v="3"/>
    <n v="249870"/>
    <x v="1"/>
    <x v="81"/>
    <x v="0"/>
    <x v="1"/>
    <x v="3"/>
    <x v="0"/>
    <s v="Medium"/>
    <s v="Yes"/>
    <s v="Ok"/>
    <n v="70579"/>
  </r>
  <r>
    <n v="227"/>
    <n v="10"/>
    <n v="8"/>
    <n v="249561"/>
    <x v="2"/>
    <x v="10"/>
    <x v="4"/>
    <x v="0"/>
    <x v="6"/>
    <x v="0"/>
    <s v="Medium"/>
    <s v="No"/>
    <s v="Attention Needed"/>
    <n v="54312"/>
  </r>
  <r>
    <n v="121"/>
    <n v="145"/>
    <n v="7"/>
    <n v="249498"/>
    <x v="0"/>
    <x v="82"/>
    <x v="1"/>
    <x v="4"/>
    <x v="16"/>
    <x v="0"/>
    <s v="Medium"/>
    <s v="No"/>
    <s v="Attention Needed"/>
    <n v="190241"/>
  </r>
  <r>
    <n v="373"/>
    <n v="206"/>
    <n v="9"/>
    <n v="249310"/>
    <x v="0"/>
    <x v="83"/>
    <x v="4"/>
    <x v="1"/>
    <x v="12"/>
    <x v="0"/>
    <s v="Medium"/>
    <s v="No"/>
    <s v="Attention Needed"/>
    <n v="186278"/>
  </r>
  <r>
    <n v="314"/>
    <n v="75"/>
    <n v="1"/>
    <n v="248931"/>
    <x v="2"/>
    <x v="84"/>
    <x v="3"/>
    <x v="4"/>
    <x v="14"/>
    <x v="0"/>
    <s v="Medium"/>
    <s v="No"/>
    <s v="Attention Needed"/>
    <n v="235539"/>
  </r>
  <r>
    <n v="266"/>
    <n v="233"/>
    <n v="10"/>
    <n v="248022"/>
    <x v="2"/>
    <x v="85"/>
    <x v="2"/>
    <x v="3"/>
    <x v="10"/>
    <x v="0"/>
    <s v="Medium"/>
    <s v="No"/>
    <s v="Attention Needed"/>
    <n v="188942"/>
  </r>
  <r>
    <n v="196"/>
    <n v="31"/>
    <n v="3"/>
    <n v="247905"/>
    <x v="2"/>
    <x v="86"/>
    <x v="1"/>
    <x v="1"/>
    <x v="11"/>
    <x v="0"/>
    <s v="Medium"/>
    <s v="No"/>
    <s v="Attention Needed"/>
    <n v="53831"/>
  </r>
  <r>
    <n v="13"/>
    <n v="152"/>
    <n v="6"/>
    <n v="247843"/>
    <x v="0"/>
    <x v="87"/>
    <x v="1"/>
    <x v="3"/>
    <x v="6"/>
    <x v="0"/>
    <s v="Medium"/>
    <s v="No"/>
    <s v="Attention Needed"/>
    <n v="149658"/>
  </r>
  <r>
    <n v="353"/>
    <n v="198"/>
    <n v="1"/>
    <n v="246955"/>
    <x v="2"/>
    <x v="88"/>
    <x v="3"/>
    <x v="4"/>
    <x v="0"/>
    <x v="0"/>
    <s v="Medium"/>
    <s v="No"/>
    <s v="Attention Needed"/>
    <n v="222360"/>
  </r>
  <r>
    <n v="490"/>
    <n v="23"/>
    <n v="4"/>
    <n v="246560"/>
    <x v="0"/>
    <x v="89"/>
    <x v="4"/>
    <x v="3"/>
    <x v="10"/>
    <x v="0"/>
    <s v="Medium"/>
    <s v="No"/>
    <s v="Attention Needed"/>
    <n v="209467"/>
  </r>
  <r>
    <n v="300"/>
    <n v="238"/>
    <n v="1"/>
    <n v="246361"/>
    <x v="0"/>
    <x v="90"/>
    <x v="2"/>
    <x v="4"/>
    <x v="16"/>
    <x v="0"/>
    <s v="Medium"/>
    <s v="No"/>
    <s v="Attention Needed"/>
    <n v="193975"/>
  </r>
  <r>
    <n v="320"/>
    <n v="39"/>
    <n v="1"/>
    <n v="246212"/>
    <x v="1"/>
    <x v="91"/>
    <x v="1"/>
    <x v="4"/>
    <x v="6"/>
    <x v="0"/>
    <s v="Medium"/>
    <s v="Yes"/>
    <s v="Ok"/>
    <n v="30850"/>
  </r>
  <r>
    <n v="420"/>
    <n v="264"/>
    <n v="2"/>
    <n v="245794"/>
    <x v="1"/>
    <x v="92"/>
    <x v="3"/>
    <x v="2"/>
    <x v="1"/>
    <x v="0"/>
    <s v="Medium"/>
    <s v="Yes"/>
    <s v="Ok"/>
    <n v="202401"/>
  </r>
  <r>
    <n v="279"/>
    <n v="242"/>
    <n v="1"/>
    <n v="244364"/>
    <x v="2"/>
    <x v="93"/>
    <x v="3"/>
    <x v="4"/>
    <x v="3"/>
    <x v="0"/>
    <s v="Medium"/>
    <s v="No"/>
    <s v="Attention Needed"/>
    <n v="38556"/>
  </r>
  <r>
    <n v="103"/>
    <n v="191"/>
    <n v="5"/>
    <n v="244312"/>
    <x v="2"/>
    <x v="9"/>
    <x v="2"/>
    <x v="0"/>
    <x v="2"/>
    <x v="0"/>
    <s v="Medium"/>
    <s v="No"/>
    <s v="Attention Needed"/>
    <n v="56712"/>
  </r>
  <r>
    <n v="28"/>
    <n v="213"/>
    <n v="2"/>
    <n v="243970"/>
    <x v="2"/>
    <x v="94"/>
    <x v="1"/>
    <x v="2"/>
    <x v="1"/>
    <x v="0"/>
    <s v="Medium"/>
    <s v="No"/>
    <s v="Attention Needed"/>
    <n v="204053"/>
  </r>
  <r>
    <n v="162"/>
    <n v="30"/>
    <n v="2"/>
    <n v="242971"/>
    <x v="0"/>
    <x v="95"/>
    <x v="3"/>
    <x v="2"/>
    <x v="0"/>
    <x v="0"/>
    <s v="Medium"/>
    <s v="No"/>
    <s v="Attention Needed"/>
    <n v="124895"/>
  </r>
  <r>
    <n v="460"/>
    <n v="257"/>
    <n v="7"/>
    <n v="240909"/>
    <x v="2"/>
    <x v="96"/>
    <x v="3"/>
    <x v="4"/>
    <x v="13"/>
    <x v="0"/>
    <s v="Medium"/>
    <s v="No"/>
    <s v="Attention Needed"/>
    <n v="77576"/>
  </r>
  <r>
    <n v="66"/>
    <n v="74"/>
    <n v="10"/>
    <n v="240126"/>
    <x v="0"/>
    <x v="97"/>
    <x v="2"/>
    <x v="3"/>
    <x v="13"/>
    <x v="0"/>
    <s v="Medium"/>
    <s v="No"/>
    <s v="Attention Needed"/>
    <n v="129345"/>
  </r>
  <r>
    <n v="150"/>
    <n v="22"/>
    <n v="6"/>
    <n v="238784"/>
    <x v="2"/>
    <x v="69"/>
    <x v="1"/>
    <x v="3"/>
    <x v="4"/>
    <x v="0"/>
    <s v="Medium"/>
    <s v="No"/>
    <s v="Attention Needed"/>
    <n v="151178"/>
  </r>
  <r>
    <n v="428"/>
    <n v="184"/>
    <n v="2"/>
    <n v="238517"/>
    <x v="0"/>
    <x v="98"/>
    <x v="0"/>
    <x v="2"/>
    <x v="3"/>
    <x v="0"/>
    <s v="Medium"/>
    <s v="No"/>
    <s v="Attention Needed"/>
    <n v="92533"/>
  </r>
  <r>
    <n v="7"/>
    <n v="152"/>
    <n v="1"/>
    <n v="237516"/>
    <x v="0"/>
    <x v="99"/>
    <x v="1"/>
    <x v="4"/>
    <x v="14"/>
    <x v="0"/>
    <s v="Medium"/>
    <s v="No"/>
    <s v="Attention Needed"/>
    <n v="149658"/>
  </r>
  <r>
    <n v="492"/>
    <n v="49"/>
    <n v="9"/>
    <n v="236753"/>
    <x v="1"/>
    <x v="55"/>
    <x v="0"/>
    <x v="1"/>
    <x v="13"/>
    <x v="0"/>
    <s v="Medium"/>
    <s v="Yes"/>
    <s v="Ok"/>
    <n v="99483"/>
  </r>
  <r>
    <n v="282"/>
    <n v="179"/>
    <n v="2"/>
    <n v="236075"/>
    <x v="1"/>
    <x v="19"/>
    <x v="3"/>
    <x v="2"/>
    <x v="11"/>
    <x v="0"/>
    <s v="Medium"/>
    <s v="Yes"/>
    <s v="Ok"/>
    <n v="248866"/>
  </r>
  <r>
    <n v="494"/>
    <n v="150"/>
    <n v="5"/>
    <n v="236020"/>
    <x v="2"/>
    <x v="89"/>
    <x v="2"/>
    <x v="0"/>
    <x v="10"/>
    <x v="0"/>
    <s v="Medium"/>
    <s v="No"/>
    <s v="Attention Needed"/>
    <n v="87367"/>
  </r>
  <r>
    <n v="394"/>
    <n v="161"/>
    <n v="10"/>
    <n v="235806"/>
    <x v="2"/>
    <x v="100"/>
    <x v="4"/>
    <x v="3"/>
    <x v="12"/>
    <x v="0"/>
    <s v="Medium"/>
    <s v="No"/>
    <s v="Attention Needed"/>
    <n v="66273"/>
  </r>
  <r>
    <n v="142"/>
    <n v="260"/>
    <n v="9"/>
    <n v="234710"/>
    <x v="1"/>
    <x v="22"/>
    <x v="2"/>
    <x v="1"/>
    <x v="9"/>
    <x v="0"/>
    <s v="Medium"/>
    <s v="Yes"/>
    <s v="Ok"/>
    <n v="116456"/>
  </r>
  <r>
    <n v="26"/>
    <n v="121"/>
    <n v="9"/>
    <n v="233762"/>
    <x v="1"/>
    <x v="101"/>
    <x v="1"/>
    <x v="1"/>
    <x v="7"/>
    <x v="0"/>
    <s v="Medium"/>
    <s v="Yes"/>
    <s v="Ok"/>
    <n v="116051"/>
  </r>
  <r>
    <n v="169"/>
    <n v="96"/>
    <n v="8"/>
    <n v="232892"/>
    <x v="0"/>
    <x v="43"/>
    <x v="0"/>
    <x v="0"/>
    <x v="1"/>
    <x v="0"/>
    <s v="Medium"/>
    <s v="No"/>
    <s v="Attention Needed"/>
    <n v="205076"/>
  </r>
  <r>
    <n v="143"/>
    <n v="241"/>
    <n v="1"/>
    <n v="232837"/>
    <x v="0"/>
    <x v="102"/>
    <x v="3"/>
    <x v="4"/>
    <x v="0"/>
    <x v="0"/>
    <s v="Medium"/>
    <s v="No"/>
    <s v="Attention Needed"/>
    <n v="210714"/>
  </r>
  <r>
    <n v="105"/>
    <n v="169"/>
    <n v="2"/>
    <n v="232670"/>
    <x v="0"/>
    <x v="103"/>
    <x v="3"/>
    <x v="2"/>
    <x v="14"/>
    <x v="0"/>
    <s v="Medium"/>
    <s v="No"/>
    <s v="Attention Needed"/>
    <n v="157986"/>
  </r>
  <r>
    <n v="212"/>
    <n v="284"/>
    <n v="5"/>
    <n v="232558"/>
    <x v="1"/>
    <x v="104"/>
    <x v="4"/>
    <x v="0"/>
    <x v="11"/>
    <x v="0"/>
    <s v="Medium"/>
    <s v="Yes"/>
    <s v="Ok"/>
    <n v="212845"/>
  </r>
  <r>
    <n v="449"/>
    <n v="64"/>
    <n v="10"/>
    <n v="231343"/>
    <x v="0"/>
    <x v="105"/>
    <x v="3"/>
    <x v="3"/>
    <x v="15"/>
    <x v="0"/>
    <s v="Medium"/>
    <s v="No"/>
    <s v="Attention Needed"/>
    <n v="221122"/>
  </r>
  <r>
    <n v="476"/>
    <n v="24"/>
    <n v="8"/>
    <n v="230791"/>
    <x v="2"/>
    <x v="1"/>
    <x v="2"/>
    <x v="0"/>
    <x v="1"/>
    <x v="0"/>
    <s v="Medium"/>
    <s v="No"/>
    <s v="Attention Needed"/>
    <n v="245430"/>
  </r>
  <r>
    <n v="280"/>
    <n v="70"/>
    <n v="7"/>
    <n v="230529"/>
    <x v="2"/>
    <x v="33"/>
    <x v="0"/>
    <x v="4"/>
    <x v="7"/>
    <x v="0"/>
    <s v="Medium"/>
    <s v="No"/>
    <s v="Attention Needed"/>
    <n v="43261"/>
  </r>
  <r>
    <n v="20"/>
    <n v="189"/>
    <n v="5"/>
    <n v="229767"/>
    <x v="0"/>
    <x v="106"/>
    <x v="0"/>
    <x v="0"/>
    <x v="4"/>
    <x v="0"/>
    <s v="Medium"/>
    <s v="No"/>
    <s v="Attention Needed"/>
    <n v="111777"/>
  </r>
  <r>
    <n v="225"/>
    <n v="246"/>
    <n v="3"/>
    <n v="229329"/>
    <x v="0"/>
    <x v="107"/>
    <x v="0"/>
    <x v="1"/>
    <x v="6"/>
    <x v="0"/>
    <s v="Medium"/>
    <s v="No"/>
    <s v="Attention Needed"/>
    <n v="199773"/>
  </r>
  <r>
    <n v="344"/>
    <n v="193"/>
    <n v="7"/>
    <n v="229267"/>
    <x v="1"/>
    <x v="108"/>
    <x v="2"/>
    <x v="4"/>
    <x v="13"/>
    <x v="0"/>
    <s v="Medium"/>
    <s v="Yes"/>
    <s v="Ok"/>
    <n v="169655"/>
  </r>
  <r>
    <n v="361"/>
    <n v="203"/>
    <n v="6"/>
    <n v="229171"/>
    <x v="0"/>
    <x v="109"/>
    <x v="0"/>
    <x v="3"/>
    <x v="4"/>
    <x v="0"/>
    <s v="Medium"/>
    <s v="No"/>
    <s v="Attention Needed"/>
    <n v="118184"/>
  </r>
  <r>
    <n v="237"/>
    <n v="141"/>
    <n v="5"/>
    <n v="229069"/>
    <x v="1"/>
    <x v="110"/>
    <x v="1"/>
    <x v="0"/>
    <x v="1"/>
    <x v="0"/>
    <s v="Medium"/>
    <s v="Yes"/>
    <s v="Ok"/>
    <n v="104392"/>
  </r>
  <r>
    <n v="331"/>
    <n v="17"/>
    <n v="2"/>
    <n v="228843"/>
    <x v="2"/>
    <x v="111"/>
    <x v="4"/>
    <x v="2"/>
    <x v="0"/>
    <x v="0"/>
    <s v="Medium"/>
    <s v="No"/>
    <s v="Attention Needed"/>
    <n v="91024"/>
  </r>
  <r>
    <n v="304"/>
    <n v="98"/>
    <n v="1"/>
    <n v="227744"/>
    <x v="2"/>
    <x v="112"/>
    <x v="1"/>
    <x v="4"/>
    <x v="10"/>
    <x v="0"/>
    <s v="Medium"/>
    <s v="No"/>
    <s v="Attention Needed"/>
    <n v="60258"/>
  </r>
  <r>
    <n v="115"/>
    <n v="173"/>
    <n v="10"/>
    <n v="227509"/>
    <x v="1"/>
    <x v="27"/>
    <x v="1"/>
    <x v="3"/>
    <x v="6"/>
    <x v="0"/>
    <s v="Medium"/>
    <s v="Yes"/>
    <s v="Ok"/>
    <n v="133290"/>
  </r>
  <r>
    <n v="487"/>
    <n v="5"/>
    <n v="6"/>
    <n v="227276"/>
    <x v="1"/>
    <x v="113"/>
    <x v="1"/>
    <x v="3"/>
    <x v="9"/>
    <x v="0"/>
    <s v="Medium"/>
    <s v="Yes"/>
    <s v="Ok"/>
    <n v="177127"/>
  </r>
  <r>
    <n v="128"/>
    <n v="28"/>
    <n v="7"/>
    <n v="226063"/>
    <x v="0"/>
    <x v="114"/>
    <x v="1"/>
    <x v="4"/>
    <x v="3"/>
    <x v="0"/>
    <s v="Medium"/>
    <s v="No"/>
    <s v="Attention Needed"/>
    <n v="66603"/>
  </r>
  <r>
    <n v="322"/>
    <n v="112"/>
    <n v="9"/>
    <n v="225664"/>
    <x v="2"/>
    <x v="115"/>
    <x v="0"/>
    <x v="1"/>
    <x v="8"/>
    <x v="0"/>
    <s v="Medium"/>
    <s v="No"/>
    <s v="Attention Needed"/>
    <n v="192702"/>
  </r>
  <r>
    <n v="166"/>
    <n v="79"/>
    <n v="8"/>
    <n v="225042"/>
    <x v="2"/>
    <x v="116"/>
    <x v="0"/>
    <x v="0"/>
    <x v="7"/>
    <x v="0"/>
    <s v="Medium"/>
    <s v="No"/>
    <s v="Attention Needed"/>
    <n v="226077"/>
  </r>
  <r>
    <n v="469"/>
    <n v="265"/>
    <n v="5"/>
    <n v="224966"/>
    <x v="1"/>
    <x v="117"/>
    <x v="0"/>
    <x v="0"/>
    <x v="6"/>
    <x v="0"/>
    <s v="Medium"/>
    <s v="Yes"/>
    <s v="Ok"/>
    <n v="138330"/>
  </r>
  <r>
    <n v="436"/>
    <n v="185"/>
    <n v="5"/>
    <n v="224953"/>
    <x v="1"/>
    <x v="118"/>
    <x v="3"/>
    <x v="0"/>
    <x v="10"/>
    <x v="0"/>
    <s v="Medium"/>
    <s v="Yes"/>
    <s v="Ok"/>
    <n v="177841"/>
  </r>
  <r>
    <n v="29"/>
    <n v="144"/>
    <n v="1"/>
    <n v="224264"/>
    <x v="0"/>
    <x v="98"/>
    <x v="1"/>
    <x v="4"/>
    <x v="3"/>
    <x v="0"/>
    <s v="Medium"/>
    <s v="No"/>
    <s v="Attention Needed"/>
    <n v="36402"/>
  </r>
  <r>
    <n v="178"/>
    <n v="185"/>
    <n v="9"/>
    <n v="223415"/>
    <x v="0"/>
    <x v="119"/>
    <x v="3"/>
    <x v="1"/>
    <x v="7"/>
    <x v="0"/>
    <s v="Medium"/>
    <s v="No"/>
    <s v="Attention Needed"/>
    <n v="177841"/>
  </r>
  <r>
    <n v="153"/>
    <n v="170"/>
    <n v="5"/>
    <n v="222948"/>
    <x v="1"/>
    <x v="120"/>
    <x v="4"/>
    <x v="0"/>
    <x v="7"/>
    <x v="0"/>
    <s v="Medium"/>
    <s v="Yes"/>
    <s v="Ok"/>
    <n v="157308"/>
  </r>
  <r>
    <n v="167"/>
    <n v="40"/>
    <n v="10"/>
    <n v="222387"/>
    <x v="1"/>
    <x v="121"/>
    <x v="4"/>
    <x v="3"/>
    <x v="0"/>
    <x v="0"/>
    <s v="Medium"/>
    <s v="Yes"/>
    <s v="Ok"/>
    <n v="163085"/>
  </r>
  <r>
    <n v="411"/>
    <n v="59"/>
    <n v="5"/>
    <n v="222341"/>
    <x v="0"/>
    <x v="122"/>
    <x v="1"/>
    <x v="0"/>
    <x v="12"/>
    <x v="0"/>
    <s v="Medium"/>
    <s v="No"/>
    <s v="Attention Needed"/>
    <n v="205368"/>
  </r>
  <r>
    <n v="210"/>
    <n v="136"/>
    <n v="6"/>
    <n v="221856"/>
    <x v="2"/>
    <x v="123"/>
    <x v="3"/>
    <x v="3"/>
    <x v="8"/>
    <x v="0"/>
    <s v="Medium"/>
    <s v="No"/>
    <s v="Attention Needed"/>
    <n v="191353"/>
  </r>
  <r>
    <n v="14"/>
    <n v="103"/>
    <n v="3"/>
    <n v="221814"/>
    <x v="0"/>
    <x v="124"/>
    <x v="3"/>
    <x v="1"/>
    <x v="11"/>
    <x v="0"/>
    <s v="Medium"/>
    <s v="No"/>
    <s v="Attention Needed"/>
    <n v="41557"/>
  </r>
  <r>
    <n v="18"/>
    <n v="116"/>
    <n v="7"/>
    <n v="221771"/>
    <x v="0"/>
    <x v="125"/>
    <x v="1"/>
    <x v="4"/>
    <x v="13"/>
    <x v="0"/>
    <s v="Medium"/>
    <s v="No"/>
    <s v="Attention Needed"/>
    <n v="71732"/>
  </r>
  <r>
    <n v="117"/>
    <n v="225"/>
    <n v="1"/>
    <n v="220997"/>
    <x v="2"/>
    <x v="126"/>
    <x v="2"/>
    <x v="4"/>
    <x v="10"/>
    <x v="0"/>
    <s v="Medium"/>
    <s v="No"/>
    <s v="Attention Needed"/>
    <n v="212823"/>
  </r>
  <r>
    <n v="30"/>
    <n v="228"/>
    <n v="8"/>
    <n v="220151"/>
    <x v="1"/>
    <x v="127"/>
    <x v="3"/>
    <x v="0"/>
    <x v="13"/>
    <x v="0"/>
    <s v="Medium"/>
    <s v="Yes"/>
    <s v="Ok"/>
    <n v="78329"/>
  </r>
  <r>
    <n v="348"/>
    <n v="3"/>
    <n v="5"/>
    <n v="218700"/>
    <x v="2"/>
    <x v="128"/>
    <x v="2"/>
    <x v="0"/>
    <x v="2"/>
    <x v="0"/>
    <s v="Medium"/>
    <s v="No"/>
    <s v="Attention Needed"/>
    <n v="184794"/>
  </r>
  <r>
    <n v="310"/>
    <n v="239"/>
    <n v="9"/>
    <n v="218355"/>
    <x v="0"/>
    <x v="129"/>
    <x v="4"/>
    <x v="1"/>
    <x v="15"/>
    <x v="0"/>
    <s v="Medium"/>
    <s v="No"/>
    <s v="Attention Needed"/>
    <n v="71171"/>
  </r>
  <r>
    <n v="403"/>
    <n v="231"/>
    <n v="10"/>
    <n v="218239"/>
    <x v="1"/>
    <x v="130"/>
    <x v="0"/>
    <x v="3"/>
    <x v="16"/>
    <x v="0"/>
    <s v="Medium"/>
    <s v="Yes"/>
    <s v="Ok"/>
    <n v="69774"/>
  </r>
  <r>
    <n v="31"/>
    <n v="189"/>
    <n v="9"/>
    <n v="218048"/>
    <x v="0"/>
    <x v="131"/>
    <x v="0"/>
    <x v="1"/>
    <x v="13"/>
    <x v="0"/>
    <s v="Medium"/>
    <s v="No"/>
    <s v="Attention Needed"/>
    <n v="111777"/>
  </r>
  <r>
    <n v="498"/>
    <n v="209"/>
    <n v="2"/>
    <n v="217845"/>
    <x v="0"/>
    <x v="132"/>
    <x v="3"/>
    <x v="2"/>
    <x v="16"/>
    <x v="0"/>
    <s v="Medium"/>
    <s v="No"/>
    <s v="Attention Needed"/>
    <n v="175536"/>
  </r>
  <r>
    <n v="343"/>
    <n v="231"/>
    <n v="8"/>
    <n v="216547"/>
    <x v="1"/>
    <x v="133"/>
    <x v="0"/>
    <x v="0"/>
    <x v="12"/>
    <x v="0"/>
    <s v="Medium"/>
    <s v="Yes"/>
    <s v="Ok"/>
    <n v="69774"/>
  </r>
  <r>
    <n v="232"/>
    <n v="273"/>
    <n v="6"/>
    <n v="215748"/>
    <x v="0"/>
    <x v="126"/>
    <x v="2"/>
    <x v="3"/>
    <x v="10"/>
    <x v="0"/>
    <s v="Medium"/>
    <s v="No"/>
    <s v="Attention Needed"/>
    <n v="60793"/>
  </r>
  <r>
    <n v="79"/>
    <n v="273"/>
    <n v="4"/>
    <n v="215685"/>
    <x v="0"/>
    <x v="134"/>
    <x v="2"/>
    <x v="3"/>
    <x v="13"/>
    <x v="0"/>
    <s v="Medium"/>
    <s v="No"/>
    <s v="Attention Needed"/>
    <n v="60793"/>
  </r>
  <r>
    <n v="351"/>
    <n v="53"/>
    <n v="1"/>
    <n v="215553"/>
    <x v="1"/>
    <x v="133"/>
    <x v="0"/>
    <x v="4"/>
    <x v="12"/>
    <x v="0"/>
    <s v="Medium"/>
    <s v="Yes"/>
    <s v="Ok"/>
    <n v="61720"/>
  </r>
  <r>
    <n v="139"/>
    <n v="220"/>
    <n v="1"/>
    <n v="214977"/>
    <x v="0"/>
    <x v="135"/>
    <x v="3"/>
    <x v="4"/>
    <x v="14"/>
    <x v="0"/>
    <s v="Medium"/>
    <s v="No"/>
    <s v="Attention Needed"/>
    <n v="219945"/>
  </r>
  <r>
    <n v="9"/>
    <n v="255"/>
    <n v="5"/>
    <n v="214717"/>
    <x v="1"/>
    <x v="136"/>
    <x v="4"/>
    <x v="0"/>
    <x v="3"/>
    <x v="0"/>
    <s v="Medium"/>
    <s v="Yes"/>
    <s v="Ok"/>
    <n v="230044"/>
  </r>
  <r>
    <n v="59"/>
    <n v="148"/>
    <n v="10"/>
    <n v="214363"/>
    <x v="2"/>
    <x v="137"/>
    <x v="3"/>
    <x v="3"/>
    <x v="13"/>
    <x v="0"/>
    <s v="Medium"/>
    <s v="No"/>
    <s v="Attention Needed"/>
    <n v="134766"/>
  </r>
  <r>
    <n v="88"/>
    <n v="262"/>
    <n v="4"/>
    <n v="214077"/>
    <x v="2"/>
    <x v="138"/>
    <x v="3"/>
    <x v="3"/>
    <x v="2"/>
    <x v="0"/>
    <s v="Medium"/>
    <s v="No"/>
    <s v="Attention Needed"/>
    <n v="149229"/>
  </r>
  <r>
    <n v="417"/>
    <n v="106"/>
    <n v="4"/>
    <n v="213928"/>
    <x v="1"/>
    <x v="75"/>
    <x v="3"/>
    <x v="3"/>
    <x v="11"/>
    <x v="0"/>
    <s v="Medium"/>
    <s v="Yes"/>
    <s v="Ok"/>
    <n v="59327"/>
  </r>
  <r>
    <n v="415"/>
    <n v="61"/>
    <n v="4"/>
    <n v="213831"/>
    <x v="1"/>
    <x v="60"/>
    <x v="0"/>
    <x v="3"/>
    <x v="9"/>
    <x v="0"/>
    <s v="Medium"/>
    <s v="Yes"/>
    <s v="Ok"/>
    <n v="93700"/>
  </r>
  <r>
    <n v="61"/>
    <n v="247"/>
    <n v="4"/>
    <n v="213560"/>
    <x v="1"/>
    <x v="139"/>
    <x v="4"/>
    <x v="3"/>
    <x v="9"/>
    <x v="0"/>
    <s v="Medium"/>
    <s v="Yes"/>
    <s v="Ok"/>
    <n v="48719"/>
  </r>
  <r>
    <n v="236"/>
    <n v="251"/>
    <n v="6"/>
    <n v="212873"/>
    <x v="2"/>
    <x v="140"/>
    <x v="4"/>
    <x v="3"/>
    <x v="12"/>
    <x v="0"/>
    <s v="Medium"/>
    <s v="No"/>
    <s v="Attention Needed"/>
    <n v="144755"/>
  </r>
  <r>
    <n v="468"/>
    <n v="6"/>
    <n v="3"/>
    <n v="211773"/>
    <x v="2"/>
    <x v="141"/>
    <x v="0"/>
    <x v="1"/>
    <x v="11"/>
    <x v="0"/>
    <s v="Medium"/>
    <s v="No"/>
    <s v="Attention Needed"/>
    <n v="87787"/>
  </r>
  <r>
    <n v="486"/>
    <n v="210"/>
    <n v="1"/>
    <n v="211625"/>
    <x v="1"/>
    <x v="21"/>
    <x v="1"/>
    <x v="4"/>
    <x v="5"/>
    <x v="0"/>
    <s v="Medium"/>
    <s v="Yes"/>
    <s v="Ok"/>
    <n v="199319"/>
  </r>
  <r>
    <n v="340"/>
    <n v="72"/>
    <n v="2"/>
    <n v="211329"/>
    <x v="0"/>
    <x v="142"/>
    <x v="1"/>
    <x v="2"/>
    <x v="8"/>
    <x v="0"/>
    <s v="Medium"/>
    <s v="No"/>
    <s v="Attention Needed"/>
    <n v="136539"/>
  </r>
  <r>
    <n v="277"/>
    <n v="38"/>
    <n v="1"/>
    <n v="210632"/>
    <x v="2"/>
    <x v="89"/>
    <x v="4"/>
    <x v="4"/>
    <x v="10"/>
    <x v="0"/>
    <s v="Medium"/>
    <s v="No"/>
    <s v="Attention Needed"/>
    <n v="106939"/>
  </r>
  <r>
    <n v="214"/>
    <n v="50"/>
    <n v="7"/>
    <n v="207778"/>
    <x v="2"/>
    <x v="143"/>
    <x v="0"/>
    <x v="4"/>
    <x v="12"/>
    <x v="0"/>
    <s v="Medium"/>
    <s v="No"/>
    <s v="Attention Needed"/>
    <n v="85521"/>
  </r>
  <r>
    <n v="154"/>
    <n v="205"/>
    <n v="8"/>
    <n v="207752"/>
    <x v="2"/>
    <x v="144"/>
    <x v="1"/>
    <x v="0"/>
    <x v="16"/>
    <x v="0"/>
    <s v="Medium"/>
    <s v="No"/>
    <s v="Attention Needed"/>
    <n v="239146"/>
  </r>
  <r>
    <n v="16"/>
    <n v="247"/>
    <n v="5"/>
    <n v="207584"/>
    <x v="0"/>
    <x v="109"/>
    <x v="4"/>
    <x v="0"/>
    <x v="4"/>
    <x v="0"/>
    <s v="Medium"/>
    <s v="No"/>
    <s v="Attention Needed"/>
    <n v="48719"/>
  </r>
  <r>
    <n v="146"/>
    <n v="23"/>
    <n v="6"/>
    <n v="207496"/>
    <x v="0"/>
    <x v="145"/>
    <x v="4"/>
    <x v="3"/>
    <x v="4"/>
    <x v="0"/>
    <s v="Medium"/>
    <s v="No"/>
    <s v="Attention Needed"/>
    <n v="209467"/>
  </r>
  <r>
    <n v="190"/>
    <n v="298"/>
    <n v="3"/>
    <n v="207009"/>
    <x v="1"/>
    <x v="146"/>
    <x v="2"/>
    <x v="1"/>
    <x v="9"/>
    <x v="0"/>
    <s v="Medium"/>
    <s v="Yes"/>
    <s v="Ok"/>
    <n v="55806"/>
  </r>
  <r>
    <n v="316"/>
    <n v="292"/>
    <n v="4"/>
    <n v="206980"/>
    <x v="2"/>
    <x v="147"/>
    <x v="3"/>
    <x v="3"/>
    <x v="14"/>
    <x v="0"/>
    <s v="Medium"/>
    <s v="No"/>
    <s v="Attention Needed"/>
    <n v="49615"/>
  </r>
  <r>
    <n v="255"/>
    <n v="132"/>
    <n v="3"/>
    <n v="206743"/>
    <x v="1"/>
    <x v="78"/>
    <x v="2"/>
    <x v="1"/>
    <x v="4"/>
    <x v="0"/>
    <s v="Medium"/>
    <s v="Yes"/>
    <s v="Ok"/>
    <n v="193356"/>
  </r>
  <r>
    <n v="130"/>
    <n v="164"/>
    <n v="2"/>
    <n v="205788"/>
    <x v="0"/>
    <x v="148"/>
    <x v="4"/>
    <x v="2"/>
    <x v="4"/>
    <x v="0"/>
    <s v="Medium"/>
    <s v="No"/>
    <s v="Attention Needed"/>
    <n v="138992"/>
  </r>
  <r>
    <n v="470"/>
    <n v="138"/>
    <n v="2"/>
    <n v="205642"/>
    <x v="1"/>
    <x v="149"/>
    <x v="2"/>
    <x v="2"/>
    <x v="4"/>
    <x v="0"/>
    <s v="Medium"/>
    <s v="Yes"/>
    <s v="Ok"/>
    <n v="105212"/>
  </r>
  <r>
    <n v="104"/>
    <n v="174"/>
    <n v="10"/>
    <n v="205452"/>
    <x v="1"/>
    <x v="150"/>
    <x v="0"/>
    <x v="3"/>
    <x v="13"/>
    <x v="0"/>
    <s v="Medium"/>
    <s v="Yes"/>
    <s v="Ok"/>
    <n v="52006"/>
  </r>
  <r>
    <n v="106"/>
    <n v="130"/>
    <n v="10"/>
    <n v="204777"/>
    <x v="1"/>
    <x v="151"/>
    <x v="4"/>
    <x v="3"/>
    <x v="13"/>
    <x v="0"/>
    <s v="Medium"/>
    <s v="Yes"/>
    <s v="Ok"/>
    <n v="215803"/>
  </r>
  <r>
    <n v="86"/>
    <n v="159"/>
    <n v="6"/>
    <n v="204623"/>
    <x v="1"/>
    <x v="152"/>
    <x v="4"/>
    <x v="3"/>
    <x v="4"/>
    <x v="0"/>
    <s v="Medium"/>
    <s v="Yes"/>
    <s v="Ok"/>
    <n v="50311"/>
  </r>
  <r>
    <n v="145"/>
    <n v="124"/>
    <n v="2"/>
    <n v="204335"/>
    <x v="0"/>
    <x v="68"/>
    <x v="0"/>
    <x v="2"/>
    <x v="6"/>
    <x v="0"/>
    <s v="Medium"/>
    <s v="No"/>
    <s v="Attention Needed"/>
    <n v="37235"/>
  </r>
  <r>
    <n v="339"/>
    <n v="124"/>
    <n v="10"/>
    <n v="203921"/>
    <x v="2"/>
    <x v="6"/>
    <x v="0"/>
    <x v="3"/>
    <x v="0"/>
    <x v="0"/>
    <s v="Medium"/>
    <s v="No"/>
    <s v="Attention Needed"/>
    <n v="37235"/>
  </r>
  <r>
    <n v="302"/>
    <n v="125"/>
    <n v="5"/>
    <n v="203152"/>
    <x v="1"/>
    <x v="44"/>
    <x v="4"/>
    <x v="0"/>
    <x v="5"/>
    <x v="0"/>
    <s v="Medium"/>
    <s v="Yes"/>
    <s v="Ok"/>
    <n v="182198"/>
  </r>
  <r>
    <n v="260"/>
    <n v="121"/>
    <n v="8"/>
    <n v="202818"/>
    <x v="2"/>
    <x v="153"/>
    <x v="1"/>
    <x v="0"/>
    <x v="15"/>
    <x v="0"/>
    <s v="Medium"/>
    <s v="No"/>
    <s v="Attention Needed"/>
    <n v="116051"/>
  </r>
  <r>
    <n v="109"/>
    <n v="287"/>
    <n v="7"/>
    <n v="202216"/>
    <x v="0"/>
    <x v="145"/>
    <x v="3"/>
    <x v="4"/>
    <x v="4"/>
    <x v="0"/>
    <s v="Medium"/>
    <s v="No"/>
    <s v="Attention Needed"/>
    <n v="131208"/>
  </r>
  <r>
    <n v="22"/>
    <n v="13"/>
    <n v="10"/>
    <n v="201969"/>
    <x v="0"/>
    <x v="24"/>
    <x v="0"/>
    <x v="3"/>
    <x v="1"/>
    <x v="0"/>
    <s v="Medium"/>
    <s v="No"/>
    <s v="Attention Needed"/>
    <n v="129230"/>
  </r>
  <r>
    <n v="257"/>
    <n v="208"/>
    <n v="7"/>
    <n v="201928"/>
    <x v="0"/>
    <x v="58"/>
    <x v="1"/>
    <x v="4"/>
    <x v="13"/>
    <x v="0"/>
    <s v="Medium"/>
    <s v="No"/>
    <s v="Attention Needed"/>
    <n v="93270"/>
  </r>
  <r>
    <n v="426"/>
    <n v="189"/>
    <n v="8"/>
    <n v="201593"/>
    <x v="2"/>
    <x v="154"/>
    <x v="0"/>
    <x v="0"/>
    <x v="12"/>
    <x v="0"/>
    <s v="Medium"/>
    <s v="No"/>
    <s v="Attention Needed"/>
    <n v="111777"/>
  </r>
  <r>
    <n v="463"/>
    <n v="105"/>
    <n v="3"/>
    <n v="201311"/>
    <x v="0"/>
    <x v="155"/>
    <x v="1"/>
    <x v="1"/>
    <x v="0"/>
    <x v="0"/>
    <s v="Medium"/>
    <s v="No"/>
    <s v="Attention Needed"/>
    <n v="174619"/>
  </r>
  <r>
    <n v="392"/>
    <n v="275"/>
    <n v="3"/>
    <n v="200909"/>
    <x v="2"/>
    <x v="156"/>
    <x v="0"/>
    <x v="1"/>
    <x v="3"/>
    <x v="0"/>
    <s v="Medium"/>
    <s v="No"/>
    <s v="Attention Needed"/>
    <n v="138918"/>
  </r>
  <r>
    <n v="365"/>
    <n v="252"/>
    <n v="10"/>
    <n v="200858"/>
    <x v="1"/>
    <x v="157"/>
    <x v="0"/>
    <x v="3"/>
    <x v="0"/>
    <x v="0"/>
    <s v="Medium"/>
    <s v="Yes"/>
    <s v="Ok"/>
    <n v="143253"/>
  </r>
  <r>
    <n v="48"/>
    <n v="300"/>
    <n v="9"/>
    <n v="200490"/>
    <x v="0"/>
    <x v="158"/>
    <x v="4"/>
    <x v="1"/>
    <x v="0"/>
    <x v="0"/>
    <s v="Medium"/>
    <s v="No"/>
    <s v="Attention Needed"/>
    <n v="42056"/>
  </r>
  <r>
    <n v="352"/>
    <n v="48"/>
    <n v="10"/>
    <n v="200094"/>
    <x v="0"/>
    <x v="159"/>
    <x v="1"/>
    <x v="3"/>
    <x v="9"/>
    <x v="0"/>
    <s v="Medium"/>
    <s v="No"/>
    <s v="Attention Needed"/>
    <n v="202949"/>
  </r>
  <r>
    <n v="39"/>
    <n v="8"/>
    <n v="6"/>
    <n v="199749"/>
    <x v="1"/>
    <x v="160"/>
    <x v="2"/>
    <x v="3"/>
    <x v="8"/>
    <x v="1"/>
    <s v="Medium"/>
    <s v="No"/>
    <s v="Ok"/>
    <n v="213013"/>
  </r>
  <r>
    <n v="92"/>
    <n v="289"/>
    <n v="10"/>
    <n v="199454"/>
    <x v="2"/>
    <x v="159"/>
    <x v="0"/>
    <x v="3"/>
    <x v="9"/>
    <x v="1"/>
    <s v="Medium"/>
    <s v="No"/>
    <s v="Attention Needed"/>
    <n v="56309"/>
  </r>
  <r>
    <n v="46"/>
    <n v="228"/>
    <n v="2"/>
    <n v="198879"/>
    <x v="1"/>
    <x v="161"/>
    <x v="3"/>
    <x v="2"/>
    <x v="5"/>
    <x v="1"/>
    <s v="Medium"/>
    <s v="No"/>
    <s v="Ok"/>
    <n v="78329"/>
  </r>
  <r>
    <n v="422"/>
    <n v="68"/>
    <n v="4"/>
    <n v="198871"/>
    <x v="1"/>
    <x v="162"/>
    <x v="1"/>
    <x v="3"/>
    <x v="4"/>
    <x v="1"/>
    <s v="Medium"/>
    <s v="No"/>
    <s v="Ok"/>
    <n v="151275"/>
  </r>
  <r>
    <n v="292"/>
    <n v="295"/>
    <n v="6"/>
    <n v="198120"/>
    <x v="0"/>
    <x v="163"/>
    <x v="0"/>
    <x v="3"/>
    <x v="14"/>
    <x v="1"/>
    <s v="Medium"/>
    <s v="No"/>
    <s v="Attention Needed"/>
    <n v="113010"/>
  </r>
  <r>
    <n v="478"/>
    <n v="165"/>
    <n v="4"/>
    <n v="197738"/>
    <x v="2"/>
    <x v="164"/>
    <x v="1"/>
    <x v="3"/>
    <x v="14"/>
    <x v="1"/>
    <s v="Medium"/>
    <s v="No"/>
    <s v="Attention Needed"/>
    <n v="132099"/>
  </r>
  <r>
    <n v="364"/>
    <n v="161"/>
    <n v="3"/>
    <n v="197320"/>
    <x v="2"/>
    <x v="165"/>
    <x v="4"/>
    <x v="1"/>
    <x v="14"/>
    <x v="1"/>
    <s v="Medium"/>
    <s v="No"/>
    <s v="Attention Needed"/>
    <n v="66273"/>
  </r>
  <r>
    <n v="296"/>
    <n v="177"/>
    <n v="7"/>
    <n v="197108"/>
    <x v="0"/>
    <x v="166"/>
    <x v="1"/>
    <x v="4"/>
    <x v="10"/>
    <x v="1"/>
    <s v="Medium"/>
    <s v="No"/>
    <s v="Attention Needed"/>
    <n v="115680"/>
  </r>
  <r>
    <n v="218"/>
    <n v="264"/>
    <n v="3"/>
    <n v="197001"/>
    <x v="2"/>
    <x v="167"/>
    <x v="3"/>
    <x v="1"/>
    <x v="6"/>
    <x v="1"/>
    <s v="Medium"/>
    <s v="No"/>
    <s v="Attention Needed"/>
    <n v="202401"/>
  </r>
  <r>
    <n v="402"/>
    <n v="148"/>
    <n v="3"/>
    <n v="194930"/>
    <x v="1"/>
    <x v="146"/>
    <x v="3"/>
    <x v="1"/>
    <x v="9"/>
    <x v="1"/>
    <s v="Medium"/>
    <s v="No"/>
    <s v="Ok"/>
    <n v="134766"/>
  </r>
  <r>
    <n v="443"/>
    <n v="46"/>
    <n v="2"/>
    <n v="194286"/>
    <x v="1"/>
    <x v="11"/>
    <x v="1"/>
    <x v="2"/>
    <x v="0"/>
    <x v="1"/>
    <s v="Medium"/>
    <s v="No"/>
    <s v="Ok"/>
    <n v="52453"/>
  </r>
  <r>
    <n v="203"/>
    <n v="82"/>
    <n v="6"/>
    <n v="193952"/>
    <x v="0"/>
    <x v="168"/>
    <x v="0"/>
    <x v="3"/>
    <x v="3"/>
    <x v="1"/>
    <s v="Medium"/>
    <s v="No"/>
    <s v="Attention Needed"/>
    <n v="78712"/>
  </r>
  <r>
    <n v="107"/>
    <n v="299"/>
    <n v="3"/>
    <n v="192650"/>
    <x v="2"/>
    <x v="90"/>
    <x v="2"/>
    <x v="1"/>
    <x v="16"/>
    <x v="1"/>
    <s v="Medium"/>
    <s v="No"/>
    <s v="Attention Needed"/>
    <n v="73611"/>
  </r>
  <r>
    <n v="111"/>
    <n v="186"/>
    <n v="1"/>
    <n v="191934"/>
    <x v="2"/>
    <x v="93"/>
    <x v="1"/>
    <x v="4"/>
    <x v="3"/>
    <x v="1"/>
    <s v="Medium"/>
    <s v="No"/>
    <s v="Attention Needed"/>
    <n v="213360"/>
  </r>
  <r>
    <n v="74"/>
    <n v="146"/>
    <n v="10"/>
    <n v="191700"/>
    <x v="2"/>
    <x v="123"/>
    <x v="2"/>
    <x v="3"/>
    <x v="8"/>
    <x v="1"/>
    <s v="Medium"/>
    <s v="No"/>
    <s v="Attention Needed"/>
    <n v="138643"/>
  </r>
  <r>
    <n v="222"/>
    <n v="170"/>
    <n v="2"/>
    <n v="191311"/>
    <x v="2"/>
    <x v="169"/>
    <x v="4"/>
    <x v="2"/>
    <x v="4"/>
    <x v="1"/>
    <s v="Medium"/>
    <s v="No"/>
    <s v="Attention Needed"/>
    <n v="157308"/>
  </r>
  <r>
    <n v="437"/>
    <n v="85"/>
    <n v="1"/>
    <n v="190174"/>
    <x v="2"/>
    <x v="170"/>
    <x v="0"/>
    <x v="4"/>
    <x v="2"/>
    <x v="1"/>
    <s v="Medium"/>
    <s v="No"/>
    <s v="Attention Needed"/>
    <n v="181760"/>
  </r>
  <r>
    <n v="500"/>
    <n v="62"/>
    <n v="2"/>
    <n v="189496"/>
    <x v="1"/>
    <x v="171"/>
    <x v="3"/>
    <x v="2"/>
    <x v="4"/>
    <x v="1"/>
    <s v="Medium"/>
    <s v="No"/>
    <s v="Ok"/>
    <n v="79914"/>
  </r>
  <r>
    <n v="185"/>
    <n v="64"/>
    <n v="9"/>
    <n v="189448"/>
    <x v="1"/>
    <x v="172"/>
    <x v="3"/>
    <x v="1"/>
    <x v="6"/>
    <x v="1"/>
    <s v="Medium"/>
    <s v="No"/>
    <s v="Ok"/>
    <n v="221122"/>
  </r>
  <r>
    <n v="483"/>
    <n v="189"/>
    <n v="4"/>
    <n v="189336"/>
    <x v="2"/>
    <x v="173"/>
    <x v="0"/>
    <x v="3"/>
    <x v="2"/>
    <x v="1"/>
    <s v="Medium"/>
    <s v="No"/>
    <s v="Attention Needed"/>
    <n v="111777"/>
  </r>
  <r>
    <n v="370"/>
    <n v="210"/>
    <n v="8"/>
    <n v="188771"/>
    <x v="1"/>
    <x v="135"/>
    <x v="1"/>
    <x v="0"/>
    <x v="14"/>
    <x v="1"/>
    <s v="Medium"/>
    <s v="No"/>
    <s v="Ok"/>
    <n v="199319"/>
  </r>
  <r>
    <n v="188"/>
    <n v="283"/>
    <n v="5"/>
    <n v="188767"/>
    <x v="1"/>
    <x v="174"/>
    <x v="0"/>
    <x v="0"/>
    <x v="5"/>
    <x v="1"/>
    <s v="Medium"/>
    <s v="No"/>
    <s v="Ok"/>
    <n v="149365"/>
  </r>
  <r>
    <n v="4"/>
    <n v="218"/>
    <n v="5"/>
    <n v="188398"/>
    <x v="2"/>
    <x v="175"/>
    <x v="2"/>
    <x v="0"/>
    <x v="3"/>
    <x v="1"/>
    <s v="Medium"/>
    <s v="No"/>
    <s v="Attention Needed"/>
    <n v="112719"/>
  </r>
  <r>
    <n v="194"/>
    <n v="280"/>
    <n v="5"/>
    <n v="188384"/>
    <x v="0"/>
    <x v="86"/>
    <x v="4"/>
    <x v="0"/>
    <x v="11"/>
    <x v="1"/>
    <s v="Medium"/>
    <s v="No"/>
    <s v="Attention Needed"/>
    <n v="104144"/>
  </r>
  <r>
    <n v="384"/>
    <n v="232"/>
    <n v="6"/>
    <n v="187424"/>
    <x v="1"/>
    <x v="176"/>
    <x v="0"/>
    <x v="3"/>
    <x v="8"/>
    <x v="1"/>
    <s v="Medium"/>
    <s v="No"/>
    <s v="Ok"/>
    <n v="52329"/>
  </r>
  <r>
    <n v="297"/>
    <n v="214"/>
    <n v="7"/>
    <n v="187227"/>
    <x v="1"/>
    <x v="157"/>
    <x v="4"/>
    <x v="4"/>
    <x v="0"/>
    <x v="1"/>
    <s v="Medium"/>
    <s v="No"/>
    <s v="Ok"/>
    <n v="175089"/>
  </r>
  <r>
    <n v="357"/>
    <n v="223"/>
    <n v="5"/>
    <n v="187156"/>
    <x v="2"/>
    <x v="86"/>
    <x v="1"/>
    <x v="0"/>
    <x v="11"/>
    <x v="1"/>
    <s v="Medium"/>
    <s v="No"/>
    <s v="Attention Needed"/>
    <n v="33708"/>
  </r>
  <r>
    <n v="219"/>
    <n v="202"/>
    <n v="10"/>
    <n v="186884"/>
    <x v="0"/>
    <x v="177"/>
    <x v="3"/>
    <x v="3"/>
    <x v="12"/>
    <x v="1"/>
    <s v="Medium"/>
    <s v="No"/>
    <s v="Attention Needed"/>
    <n v="226732"/>
  </r>
  <r>
    <n v="3"/>
    <n v="227"/>
    <n v="6"/>
    <n v="186842"/>
    <x v="0"/>
    <x v="178"/>
    <x v="2"/>
    <x v="3"/>
    <x v="5"/>
    <x v="1"/>
    <s v="Medium"/>
    <s v="No"/>
    <s v="Attention Needed"/>
    <n v="153049"/>
  </r>
  <r>
    <n v="234"/>
    <n v="127"/>
    <n v="5"/>
    <n v="186499"/>
    <x v="0"/>
    <x v="179"/>
    <x v="3"/>
    <x v="0"/>
    <x v="3"/>
    <x v="1"/>
    <s v="Medium"/>
    <s v="No"/>
    <s v="Attention Needed"/>
    <n v="220983"/>
  </r>
  <r>
    <n v="6"/>
    <n v="293"/>
    <n v="6"/>
    <n v="185122"/>
    <x v="0"/>
    <x v="89"/>
    <x v="4"/>
    <x v="3"/>
    <x v="10"/>
    <x v="1"/>
    <s v="Medium"/>
    <s v="No"/>
    <s v="Attention Needed"/>
    <n v="193383"/>
  </r>
  <r>
    <n v="113"/>
    <n v="71"/>
    <n v="3"/>
    <n v="185080"/>
    <x v="1"/>
    <x v="139"/>
    <x v="0"/>
    <x v="1"/>
    <x v="9"/>
    <x v="1"/>
    <s v="Medium"/>
    <s v="No"/>
    <s v="Ok"/>
    <n v="54448"/>
  </r>
  <r>
    <n v="158"/>
    <n v="53"/>
    <n v="2"/>
    <n v="185000"/>
    <x v="2"/>
    <x v="180"/>
    <x v="0"/>
    <x v="2"/>
    <x v="15"/>
    <x v="1"/>
    <s v="Medium"/>
    <s v="No"/>
    <s v="Attention Needed"/>
    <n v="61720"/>
  </r>
  <r>
    <n v="264"/>
    <n v="160"/>
    <n v="2"/>
    <n v="184684"/>
    <x v="0"/>
    <x v="11"/>
    <x v="4"/>
    <x v="2"/>
    <x v="0"/>
    <x v="1"/>
    <s v="Medium"/>
    <s v="No"/>
    <s v="Attention Needed"/>
    <n v="101228"/>
  </r>
  <r>
    <n v="157"/>
    <n v="221"/>
    <n v="10"/>
    <n v="184018"/>
    <x v="1"/>
    <x v="181"/>
    <x v="0"/>
    <x v="3"/>
    <x v="15"/>
    <x v="1"/>
    <s v="Medium"/>
    <s v="No"/>
    <s v="Ok"/>
    <n v="56352"/>
  </r>
  <r>
    <n v="238"/>
    <n v="203"/>
    <n v="6"/>
    <n v="182280"/>
    <x v="1"/>
    <x v="182"/>
    <x v="0"/>
    <x v="3"/>
    <x v="8"/>
    <x v="1"/>
    <s v="Medium"/>
    <s v="No"/>
    <s v="Ok"/>
    <n v="118184"/>
  </r>
  <r>
    <n v="250"/>
    <n v="204"/>
    <n v="8"/>
    <n v="181764"/>
    <x v="1"/>
    <x v="183"/>
    <x v="3"/>
    <x v="0"/>
    <x v="9"/>
    <x v="1"/>
    <s v="Medium"/>
    <s v="No"/>
    <s v="Ok"/>
    <n v="77668"/>
  </r>
  <r>
    <n v="291"/>
    <n v="29"/>
    <n v="3"/>
    <n v="181657"/>
    <x v="0"/>
    <x v="184"/>
    <x v="0"/>
    <x v="1"/>
    <x v="3"/>
    <x v="1"/>
    <s v="Medium"/>
    <s v="No"/>
    <s v="Attention Needed"/>
    <n v="225825"/>
  </r>
  <r>
    <n v="96"/>
    <n v="20"/>
    <n v="1"/>
    <n v="180511"/>
    <x v="2"/>
    <x v="28"/>
    <x v="1"/>
    <x v="4"/>
    <x v="13"/>
    <x v="1"/>
    <s v="Medium"/>
    <s v="No"/>
    <s v="Attention Needed"/>
    <n v="213977"/>
  </r>
  <r>
    <n v="131"/>
    <n v="75"/>
    <n v="3"/>
    <n v="180407"/>
    <x v="1"/>
    <x v="185"/>
    <x v="3"/>
    <x v="1"/>
    <x v="1"/>
    <x v="1"/>
    <s v="Medium"/>
    <s v="No"/>
    <s v="Ok"/>
    <n v="235539"/>
  </r>
  <r>
    <n v="459"/>
    <n v="31"/>
    <n v="7"/>
    <n v="180202"/>
    <x v="0"/>
    <x v="186"/>
    <x v="1"/>
    <x v="4"/>
    <x v="5"/>
    <x v="1"/>
    <s v="Medium"/>
    <s v="No"/>
    <s v="Attention Needed"/>
    <n v="53831"/>
  </r>
  <r>
    <n v="171"/>
    <n v="229"/>
    <n v="4"/>
    <n v="179724"/>
    <x v="0"/>
    <x v="79"/>
    <x v="2"/>
    <x v="3"/>
    <x v="10"/>
    <x v="1"/>
    <s v="Medium"/>
    <s v="No"/>
    <s v="Attention Needed"/>
    <n v="155233"/>
  </r>
  <r>
    <n v="118"/>
    <n v="122"/>
    <n v="8"/>
    <n v="179384"/>
    <x v="0"/>
    <x v="187"/>
    <x v="2"/>
    <x v="0"/>
    <x v="2"/>
    <x v="1"/>
    <s v="Medium"/>
    <s v="No"/>
    <s v="Attention Needed"/>
    <n v="122050"/>
  </r>
  <r>
    <n v="451"/>
    <n v="44"/>
    <n v="4"/>
    <n v="179380"/>
    <x v="0"/>
    <x v="152"/>
    <x v="3"/>
    <x v="3"/>
    <x v="4"/>
    <x v="1"/>
    <s v="Medium"/>
    <s v="No"/>
    <s v="Attention Needed"/>
    <n v="59325"/>
  </r>
  <r>
    <n v="309"/>
    <n v="123"/>
    <n v="9"/>
    <n v="178404"/>
    <x v="2"/>
    <x v="188"/>
    <x v="0"/>
    <x v="1"/>
    <x v="0"/>
    <x v="1"/>
    <s v="Medium"/>
    <s v="No"/>
    <s v="Attention Needed"/>
    <n v="208131"/>
  </r>
  <r>
    <n v="481"/>
    <n v="206"/>
    <n v="2"/>
    <n v="178010"/>
    <x v="2"/>
    <x v="9"/>
    <x v="4"/>
    <x v="2"/>
    <x v="2"/>
    <x v="1"/>
    <s v="Medium"/>
    <s v="No"/>
    <s v="Attention Needed"/>
    <n v="186278"/>
  </r>
  <r>
    <n v="489"/>
    <n v="252"/>
    <n v="1"/>
    <n v="176709"/>
    <x v="1"/>
    <x v="189"/>
    <x v="0"/>
    <x v="4"/>
    <x v="13"/>
    <x v="1"/>
    <s v="Medium"/>
    <s v="No"/>
    <s v="Ok"/>
    <n v="143253"/>
  </r>
  <r>
    <n v="62"/>
    <n v="285"/>
    <n v="6"/>
    <n v="176049"/>
    <x v="1"/>
    <x v="71"/>
    <x v="0"/>
    <x v="3"/>
    <x v="12"/>
    <x v="1"/>
    <s v="Medium"/>
    <s v="No"/>
    <s v="Ok"/>
    <n v="91226"/>
  </r>
  <r>
    <n v="425"/>
    <n v="48"/>
    <n v="7"/>
    <n v="175870"/>
    <x v="0"/>
    <x v="79"/>
    <x v="1"/>
    <x v="4"/>
    <x v="10"/>
    <x v="1"/>
    <s v="Medium"/>
    <s v="No"/>
    <s v="Attention Needed"/>
    <n v="202949"/>
  </r>
  <r>
    <n v="47"/>
    <n v="76"/>
    <n v="2"/>
    <n v="174187"/>
    <x v="1"/>
    <x v="190"/>
    <x v="3"/>
    <x v="2"/>
    <x v="5"/>
    <x v="1"/>
    <s v="Medium"/>
    <s v="No"/>
    <s v="Ok"/>
    <n v="140888"/>
  </r>
  <r>
    <n v="408"/>
    <n v="113"/>
    <n v="5"/>
    <n v="174102"/>
    <x v="1"/>
    <x v="179"/>
    <x v="1"/>
    <x v="0"/>
    <x v="3"/>
    <x v="1"/>
    <s v="Medium"/>
    <s v="No"/>
    <s v="Ok"/>
    <n v="72598"/>
  </r>
  <r>
    <n v="161"/>
    <n v="181"/>
    <n v="10"/>
    <n v="173946"/>
    <x v="2"/>
    <x v="178"/>
    <x v="2"/>
    <x v="3"/>
    <x v="5"/>
    <x v="1"/>
    <s v="Medium"/>
    <s v="No"/>
    <s v="Attention Needed"/>
    <n v="88778"/>
  </r>
  <r>
    <n v="342"/>
    <n v="204"/>
    <n v="6"/>
    <n v="173302"/>
    <x v="1"/>
    <x v="191"/>
    <x v="3"/>
    <x v="3"/>
    <x v="4"/>
    <x v="1"/>
    <s v="Medium"/>
    <s v="No"/>
    <s v="Ok"/>
    <n v="77668"/>
  </r>
  <r>
    <n v="64"/>
    <n v="137"/>
    <n v="1"/>
    <n v="173272"/>
    <x v="1"/>
    <x v="85"/>
    <x v="4"/>
    <x v="4"/>
    <x v="10"/>
    <x v="1"/>
    <s v="Medium"/>
    <s v="No"/>
    <s v="Ok"/>
    <n v="173638"/>
  </r>
  <r>
    <n v="253"/>
    <n v="69"/>
    <n v="9"/>
    <n v="173045"/>
    <x v="2"/>
    <x v="192"/>
    <x v="2"/>
    <x v="1"/>
    <x v="3"/>
    <x v="1"/>
    <s v="Medium"/>
    <s v="No"/>
    <s v="Attention Needed"/>
    <n v="241818"/>
  </r>
  <r>
    <n v="495"/>
    <n v="168"/>
    <n v="6"/>
    <n v="172583"/>
    <x v="2"/>
    <x v="184"/>
    <x v="4"/>
    <x v="3"/>
    <x v="3"/>
    <x v="1"/>
    <s v="Medium"/>
    <s v="No"/>
    <s v="Attention Needed"/>
    <n v="227518"/>
  </r>
  <r>
    <n v="241"/>
    <n v="276"/>
    <n v="5"/>
    <n v="172407"/>
    <x v="0"/>
    <x v="91"/>
    <x v="3"/>
    <x v="0"/>
    <x v="6"/>
    <x v="1"/>
    <s v="Medium"/>
    <s v="No"/>
    <s v="Attention Needed"/>
    <n v="93892"/>
  </r>
  <r>
    <n v="335"/>
    <n v="109"/>
    <n v="10"/>
    <n v="172131"/>
    <x v="2"/>
    <x v="123"/>
    <x v="2"/>
    <x v="3"/>
    <x v="8"/>
    <x v="1"/>
    <s v="Medium"/>
    <s v="No"/>
    <s v="Attention Needed"/>
    <n v="125591"/>
  </r>
  <r>
    <n v="355"/>
    <n v="195"/>
    <n v="3"/>
    <n v="170990"/>
    <x v="1"/>
    <x v="153"/>
    <x v="4"/>
    <x v="1"/>
    <x v="15"/>
    <x v="1"/>
    <s v="Medium"/>
    <s v="No"/>
    <s v="Ok"/>
    <n v="140115"/>
  </r>
  <r>
    <n v="429"/>
    <n v="220"/>
    <n v="4"/>
    <n v="170790"/>
    <x v="2"/>
    <x v="193"/>
    <x v="3"/>
    <x v="3"/>
    <x v="15"/>
    <x v="1"/>
    <s v="Medium"/>
    <s v="No"/>
    <s v="Attention Needed"/>
    <n v="219945"/>
  </r>
  <r>
    <n v="200"/>
    <n v="124"/>
    <n v="8"/>
    <n v="170232"/>
    <x v="1"/>
    <x v="194"/>
    <x v="0"/>
    <x v="0"/>
    <x v="7"/>
    <x v="1"/>
    <s v="Medium"/>
    <s v="No"/>
    <s v="Ok"/>
    <n v="37235"/>
  </r>
  <r>
    <n v="419"/>
    <n v="150"/>
    <n v="5"/>
    <n v="170164"/>
    <x v="0"/>
    <x v="130"/>
    <x v="2"/>
    <x v="0"/>
    <x v="16"/>
    <x v="1"/>
    <s v="Medium"/>
    <s v="No"/>
    <s v="Attention Needed"/>
    <n v="87367"/>
  </r>
  <r>
    <n v="223"/>
    <n v="14"/>
    <n v="10"/>
    <n v="169214"/>
    <x v="2"/>
    <x v="90"/>
    <x v="0"/>
    <x v="3"/>
    <x v="16"/>
    <x v="1"/>
    <s v="Medium"/>
    <s v="No"/>
    <s v="Attention Needed"/>
    <n v="247423"/>
  </r>
  <r>
    <n v="261"/>
    <n v="299"/>
    <n v="10"/>
    <n v="167129"/>
    <x v="1"/>
    <x v="195"/>
    <x v="2"/>
    <x v="3"/>
    <x v="5"/>
    <x v="1"/>
    <s v="Medium"/>
    <s v="No"/>
    <s v="Ok"/>
    <n v="73611"/>
  </r>
  <r>
    <n v="259"/>
    <n v="166"/>
    <n v="4"/>
    <n v="166726"/>
    <x v="1"/>
    <x v="6"/>
    <x v="0"/>
    <x v="3"/>
    <x v="0"/>
    <x v="1"/>
    <s v="Medium"/>
    <s v="No"/>
    <s v="Ok"/>
    <n v="230696"/>
  </r>
  <r>
    <n v="170"/>
    <n v="288"/>
    <n v="2"/>
    <n v="166466"/>
    <x v="2"/>
    <x v="196"/>
    <x v="1"/>
    <x v="2"/>
    <x v="10"/>
    <x v="1"/>
    <s v="Medium"/>
    <s v="No"/>
    <s v="Attention Needed"/>
    <n v="39704"/>
  </r>
  <r>
    <n v="15"/>
    <n v="257"/>
    <n v="5"/>
    <n v="164726"/>
    <x v="1"/>
    <x v="43"/>
    <x v="3"/>
    <x v="0"/>
    <x v="1"/>
    <x v="1"/>
    <s v="Medium"/>
    <s v="No"/>
    <s v="Ok"/>
    <n v="77576"/>
  </r>
  <r>
    <n v="133"/>
    <n v="3"/>
    <n v="2"/>
    <n v="164177"/>
    <x v="1"/>
    <x v="197"/>
    <x v="2"/>
    <x v="2"/>
    <x v="3"/>
    <x v="1"/>
    <s v="Medium"/>
    <s v="No"/>
    <s v="Ok"/>
    <n v="184794"/>
  </r>
  <r>
    <n v="327"/>
    <n v="77"/>
    <n v="4"/>
    <n v="162339"/>
    <x v="1"/>
    <x v="69"/>
    <x v="0"/>
    <x v="3"/>
    <x v="4"/>
    <x v="1"/>
    <s v="Medium"/>
    <s v="No"/>
    <s v="Ok"/>
    <n v="70579"/>
  </r>
  <r>
    <n v="187"/>
    <n v="266"/>
    <n v="5"/>
    <n v="161389"/>
    <x v="1"/>
    <x v="156"/>
    <x v="1"/>
    <x v="0"/>
    <x v="3"/>
    <x v="1"/>
    <s v="Medium"/>
    <s v="No"/>
    <s v="Ok"/>
    <n v="193219"/>
  </r>
  <r>
    <n v="202"/>
    <n v="197"/>
    <n v="10"/>
    <n v="160165"/>
    <x v="2"/>
    <x v="198"/>
    <x v="4"/>
    <x v="3"/>
    <x v="16"/>
    <x v="1"/>
    <s v="Medium"/>
    <s v="No"/>
    <s v="Attention Needed"/>
    <n v="215416"/>
  </r>
  <r>
    <n v="450"/>
    <n v="220"/>
    <n v="6"/>
    <n v="159911"/>
    <x v="1"/>
    <x v="199"/>
    <x v="3"/>
    <x v="3"/>
    <x v="14"/>
    <x v="1"/>
    <s v="Medium"/>
    <s v="No"/>
    <s v="Ok"/>
    <n v="219945"/>
  </r>
  <r>
    <n v="358"/>
    <n v="40"/>
    <n v="6"/>
    <n v="159284"/>
    <x v="2"/>
    <x v="200"/>
    <x v="4"/>
    <x v="3"/>
    <x v="2"/>
    <x v="1"/>
    <s v="Medium"/>
    <s v="No"/>
    <s v="Attention Needed"/>
    <n v="163085"/>
  </r>
  <r>
    <n v="34"/>
    <n v="11"/>
    <n v="1"/>
    <n v="157700"/>
    <x v="2"/>
    <x v="117"/>
    <x v="2"/>
    <x v="4"/>
    <x v="6"/>
    <x v="1"/>
    <s v="Medium"/>
    <s v="No"/>
    <s v="Attention Needed"/>
    <n v="120165"/>
  </r>
  <r>
    <n v="329"/>
    <n v="208"/>
    <n v="8"/>
    <n v="157510"/>
    <x v="0"/>
    <x v="166"/>
    <x v="1"/>
    <x v="0"/>
    <x v="10"/>
    <x v="1"/>
    <s v="Medium"/>
    <s v="No"/>
    <s v="Attention Needed"/>
    <n v="93270"/>
  </r>
  <r>
    <n v="298"/>
    <n v="95"/>
    <n v="9"/>
    <n v="156336"/>
    <x v="2"/>
    <x v="113"/>
    <x v="0"/>
    <x v="1"/>
    <x v="9"/>
    <x v="1"/>
    <s v="Medium"/>
    <s v="No"/>
    <s v="Attention Needed"/>
    <n v="190347"/>
  </r>
  <r>
    <n v="206"/>
    <n v="202"/>
    <n v="9"/>
    <n v="156211"/>
    <x v="2"/>
    <x v="197"/>
    <x v="3"/>
    <x v="1"/>
    <x v="3"/>
    <x v="1"/>
    <s v="Medium"/>
    <s v="No"/>
    <s v="Attention Needed"/>
    <n v="226732"/>
  </r>
  <r>
    <n v="287"/>
    <n v="215"/>
    <n v="10"/>
    <n v="156178"/>
    <x v="1"/>
    <x v="201"/>
    <x v="4"/>
    <x v="3"/>
    <x v="3"/>
    <x v="1"/>
    <s v="Medium"/>
    <s v="No"/>
    <s v="Ok"/>
    <n v="225542"/>
  </r>
  <r>
    <n v="242"/>
    <n v="56"/>
    <n v="10"/>
    <n v="155452"/>
    <x v="0"/>
    <x v="202"/>
    <x v="2"/>
    <x v="3"/>
    <x v="14"/>
    <x v="1"/>
    <s v="Medium"/>
    <s v="No"/>
    <s v="Attention Needed"/>
    <n v="215556"/>
  </r>
  <r>
    <n v="119"/>
    <n v="230"/>
    <n v="4"/>
    <n v="155393"/>
    <x v="0"/>
    <x v="203"/>
    <x v="2"/>
    <x v="3"/>
    <x v="15"/>
    <x v="1"/>
    <s v="Medium"/>
    <s v="No"/>
    <s v="Attention Needed"/>
    <n v="158908"/>
  </r>
  <r>
    <n v="397"/>
    <n v="69"/>
    <n v="6"/>
    <n v="155080"/>
    <x v="1"/>
    <x v="180"/>
    <x v="2"/>
    <x v="3"/>
    <x v="15"/>
    <x v="1"/>
    <s v="Medium"/>
    <s v="No"/>
    <s v="Ok"/>
    <n v="241818"/>
  </r>
  <r>
    <n v="488"/>
    <n v="158"/>
    <n v="2"/>
    <n v="154868"/>
    <x v="1"/>
    <x v="204"/>
    <x v="0"/>
    <x v="2"/>
    <x v="7"/>
    <x v="1"/>
    <s v="Medium"/>
    <s v="No"/>
    <s v="Ok"/>
    <n v="194298"/>
  </r>
  <r>
    <n v="5"/>
    <n v="197"/>
    <n v="8"/>
    <n v="154364"/>
    <x v="1"/>
    <x v="158"/>
    <x v="4"/>
    <x v="0"/>
    <x v="0"/>
    <x v="1"/>
    <s v="Medium"/>
    <s v="No"/>
    <s v="Ok"/>
    <n v="215416"/>
  </r>
  <r>
    <n v="21"/>
    <n v="191"/>
    <n v="2"/>
    <n v="152590"/>
    <x v="0"/>
    <x v="205"/>
    <x v="2"/>
    <x v="2"/>
    <x v="7"/>
    <x v="1"/>
    <s v="Medium"/>
    <s v="No"/>
    <s v="Attention Needed"/>
    <n v="56712"/>
  </r>
  <r>
    <n v="243"/>
    <n v="26"/>
    <n v="9"/>
    <n v="152073"/>
    <x v="1"/>
    <x v="206"/>
    <x v="1"/>
    <x v="1"/>
    <x v="8"/>
    <x v="1"/>
    <s v="Medium"/>
    <s v="No"/>
    <s v="Ok"/>
    <n v="85738"/>
  </r>
  <r>
    <n v="315"/>
    <n v="79"/>
    <n v="4"/>
    <n v="150596"/>
    <x v="2"/>
    <x v="188"/>
    <x v="0"/>
    <x v="3"/>
    <x v="0"/>
    <x v="1"/>
    <s v="Medium"/>
    <s v="No"/>
    <s v="Attention Needed"/>
    <n v="226077"/>
  </r>
  <r>
    <n v="442"/>
    <n v="68"/>
    <n v="8"/>
    <n v="150034"/>
    <x v="1"/>
    <x v="6"/>
    <x v="1"/>
    <x v="0"/>
    <x v="0"/>
    <x v="1"/>
    <s v="Medium"/>
    <s v="No"/>
    <s v="Ok"/>
    <n v="151275"/>
  </r>
  <r>
    <n v="186"/>
    <n v="83"/>
    <n v="6"/>
    <n v="148211"/>
    <x v="0"/>
    <x v="41"/>
    <x v="0"/>
    <x v="3"/>
    <x v="15"/>
    <x v="1"/>
    <s v="Low"/>
    <s v="No"/>
    <s v="Attention Needed"/>
    <n v="207002"/>
  </r>
  <r>
    <n v="129"/>
    <n v="198"/>
    <n v="2"/>
    <n v="147722"/>
    <x v="2"/>
    <x v="207"/>
    <x v="3"/>
    <x v="2"/>
    <x v="8"/>
    <x v="1"/>
    <s v="Low"/>
    <s v="No"/>
    <s v="Attention Needed"/>
    <n v="222360"/>
  </r>
  <r>
    <n v="176"/>
    <n v="90"/>
    <n v="6"/>
    <n v="147567"/>
    <x v="0"/>
    <x v="208"/>
    <x v="2"/>
    <x v="3"/>
    <x v="6"/>
    <x v="1"/>
    <s v="Low"/>
    <s v="No"/>
    <s v="Attention Needed"/>
    <n v="150136"/>
  </r>
  <r>
    <n v="313"/>
    <n v="161"/>
    <n v="7"/>
    <n v="146011"/>
    <x v="1"/>
    <x v="209"/>
    <x v="4"/>
    <x v="4"/>
    <x v="2"/>
    <x v="1"/>
    <s v="Low"/>
    <s v="No"/>
    <s v="Ok"/>
    <n v="66273"/>
  </r>
  <r>
    <n v="293"/>
    <n v="155"/>
    <n v="3"/>
    <n v="145890"/>
    <x v="0"/>
    <x v="210"/>
    <x v="0"/>
    <x v="1"/>
    <x v="0"/>
    <x v="1"/>
    <s v="Low"/>
    <s v="No"/>
    <s v="Attention Needed"/>
    <n v="71722"/>
  </r>
  <r>
    <n v="378"/>
    <n v="266"/>
    <n v="9"/>
    <n v="145884"/>
    <x v="0"/>
    <x v="211"/>
    <x v="1"/>
    <x v="1"/>
    <x v="7"/>
    <x v="1"/>
    <s v="Low"/>
    <s v="No"/>
    <s v="Attention Needed"/>
    <n v="193219"/>
  </r>
  <r>
    <n v="412"/>
    <n v="22"/>
    <n v="8"/>
    <n v="144578"/>
    <x v="0"/>
    <x v="212"/>
    <x v="1"/>
    <x v="0"/>
    <x v="7"/>
    <x v="1"/>
    <s v="Low"/>
    <s v="No"/>
    <s v="Attention Needed"/>
    <n v="151178"/>
  </r>
  <r>
    <n v="267"/>
    <n v="282"/>
    <n v="8"/>
    <n v="144510"/>
    <x v="0"/>
    <x v="213"/>
    <x v="0"/>
    <x v="0"/>
    <x v="2"/>
    <x v="1"/>
    <s v="Low"/>
    <s v="No"/>
    <s v="Attention Needed"/>
    <n v="120472"/>
  </r>
  <r>
    <n v="276"/>
    <n v="131"/>
    <n v="1"/>
    <n v="144243"/>
    <x v="0"/>
    <x v="214"/>
    <x v="2"/>
    <x v="4"/>
    <x v="12"/>
    <x v="1"/>
    <s v="Low"/>
    <s v="No"/>
    <s v="Attention Needed"/>
    <n v="125478"/>
  </r>
  <r>
    <n v="290"/>
    <n v="225"/>
    <n v="4"/>
    <n v="143911"/>
    <x v="0"/>
    <x v="215"/>
    <x v="2"/>
    <x v="3"/>
    <x v="2"/>
    <x v="1"/>
    <s v="Low"/>
    <s v="No"/>
    <s v="Attention Needed"/>
    <n v="212823"/>
  </r>
  <r>
    <n v="305"/>
    <n v="21"/>
    <n v="2"/>
    <n v="143779"/>
    <x v="1"/>
    <x v="216"/>
    <x v="2"/>
    <x v="2"/>
    <x v="11"/>
    <x v="1"/>
    <s v="Low"/>
    <s v="No"/>
    <s v="Ok"/>
    <n v="170021"/>
  </r>
  <r>
    <n v="458"/>
    <n v="35"/>
    <n v="1"/>
    <n v="143111"/>
    <x v="2"/>
    <x v="217"/>
    <x v="0"/>
    <x v="4"/>
    <x v="8"/>
    <x v="1"/>
    <s v="Low"/>
    <s v="No"/>
    <s v="Attention Needed"/>
    <n v="175024"/>
  </r>
  <r>
    <n v="72"/>
    <n v="227"/>
    <n v="7"/>
    <n v="143020"/>
    <x v="2"/>
    <x v="215"/>
    <x v="2"/>
    <x v="4"/>
    <x v="2"/>
    <x v="1"/>
    <s v="Low"/>
    <s v="No"/>
    <s v="Attention Needed"/>
    <n v="153049"/>
  </r>
  <r>
    <n v="67"/>
    <n v="73"/>
    <n v="1"/>
    <n v="142791"/>
    <x v="1"/>
    <x v="157"/>
    <x v="3"/>
    <x v="4"/>
    <x v="0"/>
    <x v="1"/>
    <s v="Low"/>
    <s v="No"/>
    <s v="Ok"/>
    <n v="135130"/>
  </r>
  <r>
    <n v="390"/>
    <n v="220"/>
    <n v="7"/>
    <n v="142615"/>
    <x v="1"/>
    <x v="201"/>
    <x v="3"/>
    <x v="4"/>
    <x v="3"/>
    <x v="1"/>
    <s v="Low"/>
    <s v="No"/>
    <s v="Ok"/>
    <n v="219945"/>
  </r>
  <r>
    <n v="446"/>
    <n v="85"/>
    <n v="8"/>
    <n v="141702"/>
    <x v="2"/>
    <x v="186"/>
    <x v="0"/>
    <x v="0"/>
    <x v="5"/>
    <x v="1"/>
    <s v="Low"/>
    <s v="No"/>
    <s v="Attention Needed"/>
    <n v="181760"/>
  </r>
  <r>
    <n v="33"/>
    <n v="233"/>
    <n v="2"/>
    <n v="141204"/>
    <x v="0"/>
    <x v="218"/>
    <x v="2"/>
    <x v="2"/>
    <x v="5"/>
    <x v="1"/>
    <s v="Low"/>
    <s v="No"/>
    <s v="Attention Needed"/>
    <n v="188942"/>
  </r>
  <r>
    <n v="192"/>
    <n v="296"/>
    <n v="5"/>
    <n v="140524"/>
    <x v="0"/>
    <x v="219"/>
    <x v="3"/>
    <x v="0"/>
    <x v="2"/>
    <x v="1"/>
    <s v="Low"/>
    <s v="No"/>
    <s v="Attention Needed"/>
    <n v="191863"/>
  </r>
  <r>
    <n v="235"/>
    <n v="153"/>
    <n v="5"/>
    <n v="138673"/>
    <x v="0"/>
    <x v="220"/>
    <x v="3"/>
    <x v="0"/>
    <x v="10"/>
    <x v="1"/>
    <s v="Low"/>
    <s v="No"/>
    <s v="Attention Needed"/>
    <n v="227984"/>
  </r>
  <r>
    <n v="35"/>
    <n v="290"/>
    <n v="4"/>
    <n v="138610"/>
    <x v="1"/>
    <x v="100"/>
    <x v="3"/>
    <x v="3"/>
    <x v="12"/>
    <x v="1"/>
    <s v="Low"/>
    <s v="No"/>
    <s v="Ok"/>
    <n v="167874"/>
  </r>
  <r>
    <n v="382"/>
    <n v="160"/>
    <n v="6"/>
    <n v="138458"/>
    <x v="2"/>
    <x v="221"/>
    <x v="4"/>
    <x v="3"/>
    <x v="11"/>
    <x v="1"/>
    <s v="Low"/>
    <s v="No"/>
    <s v="Attention Needed"/>
    <n v="101228"/>
  </r>
  <r>
    <n v="308"/>
    <n v="125"/>
    <n v="10"/>
    <n v="137223"/>
    <x v="0"/>
    <x v="121"/>
    <x v="4"/>
    <x v="3"/>
    <x v="0"/>
    <x v="1"/>
    <s v="Low"/>
    <s v="No"/>
    <s v="Attention Needed"/>
    <n v="182198"/>
  </r>
  <r>
    <n v="312"/>
    <n v="51"/>
    <n v="8"/>
    <n v="136497"/>
    <x v="2"/>
    <x v="222"/>
    <x v="0"/>
    <x v="0"/>
    <x v="0"/>
    <x v="1"/>
    <s v="Low"/>
    <s v="No"/>
    <s v="Attention Needed"/>
    <n v="216895"/>
  </r>
  <r>
    <n v="240"/>
    <n v="132"/>
    <n v="8"/>
    <n v="135941"/>
    <x v="1"/>
    <x v="171"/>
    <x v="2"/>
    <x v="0"/>
    <x v="4"/>
    <x v="1"/>
    <s v="Low"/>
    <s v="No"/>
    <s v="Ok"/>
    <n v="193356"/>
  </r>
  <r>
    <n v="363"/>
    <n v="70"/>
    <n v="5"/>
    <n v="135304"/>
    <x v="2"/>
    <x v="216"/>
    <x v="0"/>
    <x v="0"/>
    <x v="11"/>
    <x v="1"/>
    <s v="Low"/>
    <s v="No"/>
    <s v="Attention Needed"/>
    <n v="43261"/>
  </r>
  <r>
    <n v="149"/>
    <n v="151"/>
    <n v="4"/>
    <n v="134579"/>
    <x v="1"/>
    <x v="223"/>
    <x v="0"/>
    <x v="3"/>
    <x v="9"/>
    <x v="1"/>
    <s v="Low"/>
    <s v="No"/>
    <s v="Ok"/>
    <n v="43164"/>
  </r>
  <r>
    <n v="246"/>
    <n v="244"/>
    <n v="8"/>
    <n v="134572"/>
    <x v="0"/>
    <x v="224"/>
    <x v="3"/>
    <x v="0"/>
    <x v="2"/>
    <x v="1"/>
    <s v="Low"/>
    <s v="No"/>
    <s v="Attention Needed"/>
    <n v="210193"/>
  </r>
  <r>
    <n v="389"/>
    <n v="222"/>
    <n v="7"/>
    <n v="133454"/>
    <x v="1"/>
    <x v="194"/>
    <x v="1"/>
    <x v="4"/>
    <x v="7"/>
    <x v="1"/>
    <s v="Low"/>
    <s v="No"/>
    <s v="Ok"/>
    <n v="89633"/>
  </r>
  <r>
    <n v="359"/>
    <n v="254"/>
    <n v="10"/>
    <n v="132523"/>
    <x v="0"/>
    <x v="225"/>
    <x v="1"/>
    <x v="3"/>
    <x v="7"/>
    <x v="1"/>
    <s v="Low"/>
    <s v="No"/>
    <s v="Attention Needed"/>
    <n v="230477"/>
  </r>
  <r>
    <n v="404"/>
    <n v="5"/>
    <n v="8"/>
    <n v="132303"/>
    <x v="1"/>
    <x v="69"/>
    <x v="1"/>
    <x v="0"/>
    <x v="4"/>
    <x v="1"/>
    <s v="Low"/>
    <s v="No"/>
    <s v="Ok"/>
    <n v="177127"/>
  </r>
  <r>
    <n v="211"/>
    <n v="206"/>
    <n v="1"/>
    <n v="132055"/>
    <x v="0"/>
    <x v="226"/>
    <x v="4"/>
    <x v="4"/>
    <x v="0"/>
    <x v="1"/>
    <s v="Low"/>
    <s v="No"/>
    <s v="Attention Needed"/>
    <n v="186278"/>
  </r>
  <r>
    <n v="256"/>
    <n v="152"/>
    <n v="10"/>
    <n v="131272"/>
    <x v="0"/>
    <x v="87"/>
    <x v="1"/>
    <x v="3"/>
    <x v="6"/>
    <x v="1"/>
    <s v="Low"/>
    <s v="No"/>
    <s v="Attention Needed"/>
    <n v="149658"/>
  </r>
  <r>
    <n v="233"/>
    <n v="136"/>
    <n v="10"/>
    <n v="130801"/>
    <x v="2"/>
    <x v="72"/>
    <x v="3"/>
    <x v="3"/>
    <x v="16"/>
    <x v="1"/>
    <s v="Low"/>
    <s v="No"/>
    <s v="Attention Needed"/>
    <n v="191353"/>
  </r>
  <r>
    <n v="112"/>
    <n v="110"/>
    <n v="6"/>
    <n v="130666"/>
    <x v="2"/>
    <x v="179"/>
    <x v="2"/>
    <x v="3"/>
    <x v="3"/>
    <x v="1"/>
    <s v="Low"/>
    <s v="No"/>
    <s v="Attention Needed"/>
    <n v="85070"/>
  </r>
  <r>
    <n v="388"/>
    <n v="237"/>
    <n v="4"/>
    <n v="126705"/>
    <x v="2"/>
    <x v="227"/>
    <x v="0"/>
    <x v="3"/>
    <x v="3"/>
    <x v="1"/>
    <s v="Low"/>
    <s v="No"/>
    <s v="Attention Needed"/>
    <n v="189811"/>
  </r>
  <r>
    <n v="183"/>
    <n v="265"/>
    <n v="6"/>
    <n v="125401"/>
    <x v="1"/>
    <x v="228"/>
    <x v="0"/>
    <x v="3"/>
    <x v="2"/>
    <x v="1"/>
    <s v="Low"/>
    <s v="No"/>
    <s v="Ok"/>
    <n v="138330"/>
  </r>
  <r>
    <n v="367"/>
    <n v="289"/>
    <n v="4"/>
    <n v="124333"/>
    <x v="0"/>
    <x v="229"/>
    <x v="0"/>
    <x v="3"/>
    <x v="10"/>
    <x v="1"/>
    <s v="Low"/>
    <s v="No"/>
    <s v="Attention Needed"/>
    <n v="56309"/>
  </r>
  <r>
    <n v="294"/>
    <n v="154"/>
    <n v="5"/>
    <n v="121820"/>
    <x v="1"/>
    <x v="230"/>
    <x v="3"/>
    <x v="0"/>
    <x v="5"/>
    <x v="1"/>
    <s v="Low"/>
    <s v="No"/>
    <s v="Ok"/>
    <n v="247728"/>
  </r>
  <r>
    <n v="386"/>
    <n v="85"/>
    <n v="4"/>
    <n v="121463"/>
    <x v="0"/>
    <x v="231"/>
    <x v="0"/>
    <x v="3"/>
    <x v="12"/>
    <x v="1"/>
    <s v="Low"/>
    <s v="No"/>
    <s v="Attention Needed"/>
    <n v="181760"/>
  </r>
  <r>
    <n v="101"/>
    <n v="176"/>
    <n v="2"/>
    <n v="120470"/>
    <x v="0"/>
    <x v="217"/>
    <x v="2"/>
    <x v="2"/>
    <x v="8"/>
    <x v="1"/>
    <s v="Low"/>
    <s v="No"/>
    <s v="Attention Needed"/>
    <n v="129379"/>
  </r>
  <r>
    <n v="354"/>
    <n v="44"/>
    <n v="9"/>
    <n v="118910"/>
    <x v="1"/>
    <x v="232"/>
    <x v="3"/>
    <x v="1"/>
    <x v="10"/>
    <x v="1"/>
    <s v="Low"/>
    <s v="No"/>
    <s v="Ok"/>
    <n v="59325"/>
  </r>
  <r>
    <n v="189"/>
    <n v="274"/>
    <n v="2"/>
    <n v="118413"/>
    <x v="0"/>
    <x v="177"/>
    <x v="1"/>
    <x v="2"/>
    <x v="12"/>
    <x v="1"/>
    <s v="Low"/>
    <s v="No"/>
    <s v="Attention Needed"/>
    <n v="217853"/>
  </r>
  <r>
    <n v="418"/>
    <n v="144"/>
    <n v="10"/>
    <n v="118278"/>
    <x v="0"/>
    <x v="193"/>
    <x v="1"/>
    <x v="3"/>
    <x v="15"/>
    <x v="1"/>
    <s v="Low"/>
    <s v="No"/>
    <s v="Attention Needed"/>
    <n v="36402"/>
  </r>
  <r>
    <n v="317"/>
    <n v="251"/>
    <n v="8"/>
    <n v="118202"/>
    <x v="2"/>
    <x v="233"/>
    <x v="4"/>
    <x v="0"/>
    <x v="2"/>
    <x v="1"/>
    <s v="Low"/>
    <s v="No"/>
    <s v="Attention Needed"/>
    <n v="144755"/>
  </r>
  <r>
    <n v="473"/>
    <n v="185"/>
    <n v="1"/>
    <n v="117493"/>
    <x v="2"/>
    <x v="11"/>
    <x v="3"/>
    <x v="4"/>
    <x v="0"/>
    <x v="1"/>
    <s v="Low"/>
    <s v="No"/>
    <s v="Attention Needed"/>
    <n v="177841"/>
  </r>
  <r>
    <n v="401"/>
    <n v="276"/>
    <n v="3"/>
    <n v="117485"/>
    <x v="0"/>
    <x v="59"/>
    <x v="3"/>
    <x v="1"/>
    <x v="11"/>
    <x v="1"/>
    <s v="Low"/>
    <s v="No"/>
    <s v="Attention Needed"/>
    <n v="93892"/>
  </r>
  <r>
    <n v="116"/>
    <n v="84"/>
    <n v="3"/>
    <n v="116790"/>
    <x v="0"/>
    <x v="200"/>
    <x v="1"/>
    <x v="1"/>
    <x v="2"/>
    <x v="1"/>
    <s v="Low"/>
    <s v="No"/>
    <s v="Attention Needed"/>
    <n v="61427"/>
  </r>
  <r>
    <n v="338"/>
    <n v="204"/>
    <n v="2"/>
    <n v="115170"/>
    <x v="2"/>
    <x v="234"/>
    <x v="3"/>
    <x v="2"/>
    <x v="12"/>
    <x v="1"/>
    <s v="Low"/>
    <s v="No"/>
    <s v="Attention Needed"/>
    <n v="77668"/>
  </r>
  <r>
    <n v="102"/>
    <n v="127"/>
    <n v="8"/>
    <n v="113228"/>
    <x v="2"/>
    <x v="95"/>
    <x v="3"/>
    <x v="0"/>
    <x v="0"/>
    <x v="1"/>
    <s v="Low"/>
    <s v="No"/>
    <s v="Attention Needed"/>
    <n v="220983"/>
  </r>
  <r>
    <n v="2"/>
    <n v="239"/>
    <n v="5"/>
    <n v="112824"/>
    <x v="0"/>
    <x v="52"/>
    <x v="4"/>
    <x v="0"/>
    <x v="13"/>
    <x v="1"/>
    <s v="Low"/>
    <s v="No"/>
    <s v="Attention Needed"/>
    <n v="71171"/>
  </r>
  <r>
    <n v="245"/>
    <n v="71"/>
    <n v="1"/>
    <n v="112806"/>
    <x v="0"/>
    <x v="0"/>
    <x v="0"/>
    <x v="4"/>
    <x v="0"/>
    <x v="1"/>
    <s v="Low"/>
    <s v="No"/>
    <s v="Attention Needed"/>
    <n v="54448"/>
  </r>
  <r>
    <n v="175"/>
    <n v="278"/>
    <n v="5"/>
    <n v="112578"/>
    <x v="2"/>
    <x v="235"/>
    <x v="0"/>
    <x v="0"/>
    <x v="10"/>
    <x v="1"/>
    <s v="Low"/>
    <s v="No"/>
    <s v="Attention Needed"/>
    <n v="48300"/>
  </r>
  <r>
    <n v="68"/>
    <n v="215"/>
    <n v="8"/>
    <n v="112527"/>
    <x v="2"/>
    <x v="222"/>
    <x v="4"/>
    <x v="0"/>
    <x v="0"/>
    <x v="1"/>
    <s v="Low"/>
    <s v="No"/>
    <s v="Attention Needed"/>
    <n v="225542"/>
  </r>
  <r>
    <n v="60"/>
    <n v="296"/>
    <n v="9"/>
    <n v="111123"/>
    <x v="1"/>
    <x v="236"/>
    <x v="3"/>
    <x v="1"/>
    <x v="10"/>
    <x v="1"/>
    <s v="Low"/>
    <s v="No"/>
    <s v="Ok"/>
    <n v="191863"/>
  </r>
  <r>
    <n v="27"/>
    <n v="190"/>
    <n v="9"/>
    <n v="111014"/>
    <x v="2"/>
    <x v="223"/>
    <x v="3"/>
    <x v="1"/>
    <x v="9"/>
    <x v="1"/>
    <s v="Low"/>
    <s v="No"/>
    <s v="Attention Needed"/>
    <n v="217436"/>
  </r>
  <r>
    <n v="346"/>
    <n v="138"/>
    <n v="3"/>
    <n v="110885"/>
    <x v="2"/>
    <x v="173"/>
    <x v="2"/>
    <x v="1"/>
    <x v="2"/>
    <x v="1"/>
    <s v="Low"/>
    <s v="No"/>
    <s v="Attention Needed"/>
    <n v="105212"/>
  </r>
  <r>
    <n v="90"/>
    <n v="102"/>
    <n v="3"/>
    <n v="110147"/>
    <x v="0"/>
    <x v="128"/>
    <x v="4"/>
    <x v="1"/>
    <x v="2"/>
    <x v="1"/>
    <s v="Low"/>
    <s v="No"/>
    <s v="Attention Needed"/>
    <n v="54195"/>
  </r>
  <r>
    <n v="461"/>
    <n v="275"/>
    <n v="9"/>
    <n v="110048"/>
    <x v="0"/>
    <x v="237"/>
    <x v="0"/>
    <x v="1"/>
    <x v="14"/>
    <x v="1"/>
    <s v="Low"/>
    <s v="No"/>
    <s v="Attention Needed"/>
    <n v="138918"/>
  </r>
  <r>
    <n v="321"/>
    <n v="119"/>
    <n v="2"/>
    <n v="109183"/>
    <x v="0"/>
    <x v="50"/>
    <x v="3"/>
    <x v="2"/>
    <x v="8"/>
    <x v="1"/>
    <s v="Low"/>
    <s v="No"/>
    <s v="Attention Needed"/>
    <n v="110003"/>
  </r>
  <r>
    <n v="485"/>
    <n v="101"/>
    <n v="9"/>
    <n v="108940"/>
    <x v="1"/>
    <x v="238"/>
    <x v="1"/>
    <x v="1"/>
    <x v="8"/>
    <x v="1"/>
    <s v="Low"/>
    <s v="No"/>
    <s v="Ok"/>
    <n v="162489"/>
  </r>
  <r>
    <n v="270"/>
    <n v="281"/>
    <n v="9"/>
    <n v="108565"/>
    <x v="1"/>
    <x v="172"/>
    <x v="4"/>
    <x v="1"/>
    <x v="6"/>
    <x v="1"/>
    <s v="Low"/>
    <s v="No"/>
    <s v="Ok"/>
    <n v="68953"/>
  </r>
  <r>
    <n v="36"/>
    <n v="111"/>
    <n v="4"/>
    <n v="107360"/>
    <x v="2"/>
    <x v="239"/>
    <x v="1"/>
    <x v="3"/>
    <x v="4"/>
    <x v="1"/>
    <s v="Low"/>
    <s v="No"/>
    <s v="Attention Needed"/>
    <n v="122714"/>
  </r>
  <r>
    <n v="89"/>
    <n v="76"/>
    <n v="4"/>
    <n v="106778"/>
    <x v="1"/>
    <x v="147"/>
    <x v="3"/>
    <x v="3"/>
    <x v="14"/>
    <x v="1"/>
    <s v="Low"/>
    <s v="No"/>
    <s v="Ok"/>
    <n v="140888"/>
  </r>
  <r>
    <n v="299"/>
    <n v="116"/>
    <n v="5"/>
    <n v="105681"/>
    <x v="0"/>
    <x v="240"/>
    <x v="1"/>
    <x v="0"/>
    <x v="4"/>
    <x v="1"/>
    <s v="Low"/>
    <s v="No"/>
    <s v="Attention Needed"/>
    <n v="71732"/>
  </r>
  <r>
    <n v="337"/>
    <n v="162"/>
    <n v="1"/>
    <n v="105597"/>
    <x v="1"/>
    <x v="187"/>
    <x v="1"/>
    <x v="4"/>
    <x v="2"/>
    <x v="1"/>
    <s v="Low"/>
    <s v="No"/>
    <s v="Ok"/>
    <n v="211914"/>
  </r>
  <r>
    <n v="197"/>
    <n v="238"/>
    <n v="4"/>
    <n v="105323"/>
    <x v="2"/>
    <x v="35"/>
    <x v="2"/>
    <x v="3"/>
    <x v="15"/>
    <x v="1"/>
    <s v="Low"/>
    <s v="No"/>
    <s v="Attention Needed"/>
    <n v="193975"/>
  </r>
  <r>
    <n v="138"/>
    <n v="264"/>
    <n v="10"/>
    <n v="105275"/>
    <x v="1"/>
    <x v="165"/>
    <x v="3"/>
    <x v="3"/>
    <x v="14"/>
    <x v="1"/>
    <s v="Low"/>
    <s v="No"/>
    <s v="Ok"/>
    <n v="202401"/>
  </r>
  <r>
    <n v="163"/>
    <n v="263"/>
    <n v="3"/>
    <n v="104857"/>
    <x v="1"/>
    <x v="113"/>
    <x v="4"/>
    <x v="1"/>
    <x v="9"/>
    <x v="1"/>
    <s v="Low"/>
    <s v="No"/>
    <s v="Ok"/>
    <n v="114744"/>
  </r>
  <r>
    <n v="423"/>
    <n v="127"/>
    <n v="7"/>
    <n v="104538"/>
    <x v="2"/>
    <x v="241"/>
    <x v="3"/>
    <x v="4"/>
    <x v="12"/>
    <x v="1"/>
    <s v="Low"/>
    <s v="No"/>
    <s v="Attention Needed"/>
    <n v="220983"/>
  </r>
  <r>
    <n v="381"/>
    <n v="213"/>
    <n v="2"/>
    <n v="104278"/>
    <x v="1"/>
    <x v="242"/>
    <x v="1"/>
    <x v="2"/>
    <x v="15"/>
    <x v="1"/>
    <s v="Low"/>
    <s v="No"/>
    <s v="Ok"/>
    <n v="204053"/>
  </r>
  <r>
    <n v="398"/>
    <n v="60"/>
    <n v="3"/>
    <n v="104112"/>
    <x v="2"/>
    <x v="51"/>
    <x v="1"/>
    <x v="1"/>
    <x v="11"/>
    <x v="1"/>
    <s v="Low"/>
    <s v="No"/>
    <s v="Attention Needed"/>
    <n v="219622"/>
  </r>
  <r>
    <n v="17"/>
    <n v="59"/>
    <n v="8"/>
    <n v="103797"/>
    <x v="1"/>
    <x v="215"/>
    <x v="1"/>
    <x v="0"/>
    <x v="2"/>
    <x v="1"/>
    <s v="Low"/>
    <s v="No"/>
    <s v="Ok"/>
    <n v="205368"/>
  </r>
  <r>
    <n v="258"/>
    <n v="206"/>
    <n v="2"/>
    <n v="103721"/>
    <x v="1"/>
    <x v="243"/>
    <x v="4"/>
    <x v="2"/>
    <x v="11"/>
    <x v="1"/>
    <s v="Low"/>
    <s v="No"/>
    <s v="Ok"/>
    <n v="186278"/>
  </r>
  <r>
    <n v="448"/>
    <n v="112"/>
    <n v="2"/>
    <n v="103407"/>
    <x v="1"/>
    <x v="187"/>
    <x v="0"/>
    <x v="2"/>
    <x v="2"/>
    <x v="1"/>
    <s v="Low"/>
    <s v="No"/>
    <s v="Ok"/>
    <n v="192702"/>
  </r>
  <r>
    <n v="24"/>
    <n v="155"/>
    <n v="7"/>
    <n v="103283"/>
    <x v="1"/>
    <x v="123"/>
    <x v="0"/>
    <x v="4"/>
    <x v="8"/>
    <x v="1"/>
    <s v="Low"/>
    <s v="No"/>
    <s v="Ok"/>
    <n v="71722"/>
  </r>
  <r>
    <n v="416"/>
    <n v="220"/>
    <n v="3"/>
    <n v="102999"/>
    <x v="0"/>
    <x v="191"/>
    <x v="3"/>
    <x v="1"/>
    <x v="4"/>
    <x v="1"/>
    <s v="Low"/>
    <s v="No"/>
    <s v="Attention Needed"/>
    <n v="219945"/>
  </r>
  <r>
    <n v="122"/>
    <n v="83"/>
    <n v="4"/>
    <n v="102560"/>
    <x v="0"/>
    <x v="244"/>
    <x v="0"/>
    <x v="3"/>
    <x v="9"/>
    <x v="1"/>
    <s v="Low"/>
    <s v="No"/>
    <s v="Attention Needed"/>
    <n v="207002"/>
  </r>
  <r>
    <n v="229"/>
    <n v="242"/>
    <n v="1"/>
    <n v="102394"/>
    <x v="0"/>
    <x v="245"/>
    <x v="3"/>
    <x v="4"/>
    <x v="11"/>
    <x v="1"/>
    <s v="Low"/>
    <s v="No"/>
    <s v="Attention Needed"/>
    <n v="38556"/>
  </r>
  <r>
    <n v="399"/>
    <n v="199"/>
    <n v="7"/>
    <n v="102282"/>
    <x v="0"/>
    <x v="246"/>
    <x v="4"/>
    <x v="4"/>
    <x v="12"/>
    <x v="1"/>
    <s v="Low"/>
    <s v="No"/>
    <s v="Attention Needed"/>
    <n v="151863"/>
  </r>
  <r>
    <n v="76"/>
    <n v="105"/>
    <n v="5"/>
    <n v="101950"/>
    <x v="1"/>
    <x v="247"/>
    <x v="1"/>
    <x v="0"/>
    <x v="2"/>
    <x v="1"/>
    <s v="Low"/>
    <s v="No"/>
    <s v="Ok"/>
    <n v="174619"/>
  </r>
  <r>
    <n v="467"/>
    <n v="90"/>
    <n v="2"/>
    <n v="101938"/>
    <x v="1"/>
    <x v="85"/>
    <x v="2"/>
    <x v="2"/>
    <x v="10"/>
    <x v="1"/>
    <s v="Low"/>
    <s v="No"/>
    <s v="Ok"/>
    <n v="150136"/>
  </r>
  <r>
    <n v="10"/>
    <n v="98"/>
    <n v="10"/>
    <n v="101711"/>
    <x v="2"/>
    <x v="186"/>
    <x v="1"/>
    <x v="3"/>
    <x v="5"/>
    <x v="1"/>
    <s v="Low"/>
    <s v="No"/>
    <s v="Attention Needed"/>
    <n v="60258"/>
  </r>
  <r>
    <n v="172"/>
    <n v="252"/>
    <n v="4"/>
    <n v="101160"/>
    <x v="1"/>
    <x v="248"/>
    <x v="0"/>
    <x v="3"/>
    <x v="9"/>
    <x v="1"/>
    <s v="Low"/>
    <s v="No"/>
    <s v="Ok"/>
    <n v="143253"/>
  </r>
  <r>
    <n v="301"/>
    <n v="214"/>
    <n v="9"/>
    <n v="100303"/>
    <x v="0"/>
    <x v="88"/>
    <x v="4"/>
    <x v="1"/>
    <x v="0"/>
    <x v="1"/>
    <s v="Low"/>
    <s v="No"/>
    <s v="Attention Needed"/>
    <n v="175089"/>
  </r>
  <r>
    <n v="444"/>
    <n v="154"/>
    <n v="3"/>
    <n v="99806"/>
    <x v="2"/>
    <x v="218"/>
    <x v="3"/>
    <x v="1"/>
    <x v="5"/>
    <x v="1"/>
    <s v="Low"/>
    <s v="No"/>
    <s v="Attention Needed"/>
    <n v="247728"/>
  </r>
  <r>
    <n v="281"/>
    <n v="194"/>
    <n v="7"/>
    <n v="99724"/>
    <x v="1"/>
    <x v="195"/>
    <x v="4"/>
    <x v="4"/>
    <x v="5"/>
    <x v="1"/>
    <s v="Low"/>
    <s v="No"/>
    <s v="Ok"/>
    <n v="162634"/>
  </r>
  <r>
    <n v="434"/>
    <n v="220"/>
    <n v="4"/>
    <n v="99160"/>
    <x v="0"/>
    <x v="249"/>
    <x v="3"/>
    <x v="3"/>
    <x v="9"/>
    <x v="1"/>
    <s v="Low"/>
    <s v="No"/>
    <s v="Attention Needed"/>
    <n v="219945"/>
  </r>
  <r>
    <n v="12"/>
    <n v="297"/>
    <n v="6"/>
    <n v="98897"/>
    <x v="0"/>
    <x v="125"/>
    <x v="1"/>
    <x v="3"/>
    <x v="13"/>
    <x v="1"/>
    <s v="Low"/>
    <s v="No"/>
    <s v="Attention Needed"/>
    <n v="89634"/>
  </r>
  <r>
    <n v="198"/>
    <n v="164"/>
    <n v="6"/>
    <n v="98559"/>
    <x v="2"/>
    <x v="128"/>
    <x v="4"/>
    <x v="3"/>
    <x v="2"/>
    <x v="1"/>
    <s v="Low"/>
    <s v="No"/>
    <s v="Attention Needed"/>
    <n v="138992"/>
  </r>
  <r>
    <n v="493"/>
    <n v="291"/>
    <n v="1"/>
    <n v="98528"/>
    <x v="2"/>
    <x v="163"/>
    <x v="3"/>
    <x v="4"/>
    <x v="14"/>
    <x v="1"/>
    <s v="Low"/>
    <s v="No"/>
    <s v="Attention Needed"/>
    <n v="219384"/>
  </r>
  <r>
    <n v="430"/>
    <n v="146"/>
    <n v="6"/>
    <n v="98468"/>
    <x v="0"/>
    <x v="47"/>
    <x v="2"/>
    <x v="3"/>
    <x v="12"/>
    <x v="1"/>
    <s v="Low"/>
    <s v="No"/>
    <s v="Attention Needed"/>
    <n v="138643"/>
  </r>
  <r>
    <n v="37"/>
    <n v="2"/>
    <n v="5"/>
    <n v="98153"/>
    <x v="1"/>
    <x v="250"/>
    <x v="1"/>
    <x v="0"/>
    <x v="12"/>
    <x v="1"/>
    <s v="Low"/>
    <s v="No"/>
    <s v="Ok"/>
    <n v="66579"/>
  </r>
  <r>
    <n v="78"/>
    <n v="255"/>
    <n v="7"/>
    <n v="97730"/>
    <x v="1"/>
    <x v="188"/>
    <x v="4"/>
    <x v="4"/>
    <x v="0"/>
    <x v="1"/>
    <s v="Low"/>
    <s v="No"/>
    <s v="Ok"/>
    <n v="230044"/>
  </r>
  <r>
    <n v="421"/>
    <n v="31"/>
    <n v="5"/>
    <n v="96525"/>
    <x v="0"/>
    <x v="85"/>
    <x v="1"/>
    <x v="0"/>
    <x v="10"/>
    <x v="1"/>
    <s v="Low"/>
    <s v="No"/>
    <s v="Attention Needed"/>
    <n v="53831"/>
  </r>
  <r>
    <n v="40"/>
    <n v="90"/>
    <n v="5"/>
    <n v="96457"/>
    <x v="1"/>
    <x v="209"/>
    <x v="2"/>
    <x v="0"/>
    <x v="2"/>
    <x v="1"/>
    <s v="Low"/>
    <s v="No"/>
    <s v="Ok"/>
    <n v="150136"/>
  </r>
  <r>
    <n v="124"/>
    <n v="191"/>
    <n v="9"/>
    <n v="95367"/>
    <x v="1"/>
    <x v="103"/>
    <x v="2"/>
    <x v="1"/>
    <x v="14"/>
    <x v="1"/>
    <s v="Low"/>
    <s v="No"/>
    <s v="Ok"/>
    <n v="56712"/>
  </r>
  <r>
    <n v="432"/>
    <n v="51"/>
    <n v="8"/>
    <n v="95136"/>
    <x v="1"/>
    <x v="251"/>
    <x v="0"/>
    <x v="0"/>
    <x v="1"/>
    <x v="1"/>
    <s v="Low"/>
    <s v="No"/>
    <s v="Ok"/>
    <n v="216895"/>
  </r>
  <r>
    <n v="19"/>
    <n v="203"/>
    <n v="1"/>
    <n v="94796"/>
    <x v="2"/>
    <x v="101"/>
    <x v="0"/>
    <x v="4"/>
    <x v="7"/>
    <x v="1"/>
    <s v="Low"/>
    <s v="No"/>
    <s v="Attention Needed"/>
    <n v="118184"/>
  </r>
  <r>
    <n v="57"/>
    <n v="288"/>
    <n v="9"/>
    <n v="94084"/>
    <x v="2"/>
    <x v="252"/>
    <x v="1"/>
    <x v="1"/>
    <x v="0"/>
    <x v="1"/>
    <s v="Low"/>
    <s v="No"/>
    <s v="Attention Needed"/>
    <n v="39704"/>
  </r>
  <r>
    <n v="32"/>
    <n v="204"/>
    <n v="5"/>
    <n v="94046"/>
    <x v="1"/>
    <x v="253"/>
    <x v="3"/>
    <x v="0"/>
    <x v="1"/>
    <x v="1"/>
    <s v="Low"/>
    <s v="No"/>
    <s v="Ok"/>
    <n v="77668"/>
  </r>
  <r>
    <n v="135"/>
    <n v="148"/>
    <n v="4"/>
    <n v="93883"/>
    <x v="2"/>
    <x v="254"/>
    <x v="3"/>
    <x v="3"/>
    <x v="8"/>
    <x v="1"/>
    <s v="Low"/>
    <s v="No"/>
    <s v="Attention Needed"/>
    <n v="134766"/>
  </r>
  <r>
    <n v="77"/>
    <n v="131"/>
    <n v="5"/>
    <n v="92906"/>
    <x v="2"/>
    <x v="238"/>
    <x v="2"/>
    <x v="0"/>
    <x v="8"/>
    <x v="1"/>
    <s v="Low"/>
    <s v="No"/>
    <s v="Attention Needed"/>
    <n v="125478"/>
  </r>
  <r>
    <n v="479"/>
    <n v="40"/>
    <n v="10"/>
    <n v="92600"/>
    <x v="2"/>
    <x v="255"/>
    <x v="4"/>
    <x v="3"/>
    <x v="11"/>
    <x v="1"/>
    <s v="Low"/>
    <s v="No"/>
    <s v="Attention Needed"/>
    <n v="163085"/>
  </r>
  <r>
    <n v="213"/>
    <n v="231"/>
    <n v="9"/>
    <n v="92291"/>
    <x v="2"/>
    <x v="256"/>
    <x v="0"/>
    <x v="1"/>
    <x v="6"/>
    <x v="1"/>
    <s v="Low"/>
    <s v="No"/>
    <s v="Attention Needed"/>
    <n v="69774"/>
  </r>
  <r>
    <n v="262"/>
    <n v="185"/>
    <n v="4"/>
    <n v="91983"/>
    <x v="1"/>
    <x v="12"/>
    <x v="3"/>
    <x v="3"/>
    <x v="7"/>
    <x v="1"/>
    <s v="Low"/>
    <s v="No"/>
    <s v="Ok"/>
    <n v="177841"/>
  </r>
  <r>
    <n v="271"/>
    <n v="168"/>
    <n v="9"/>
    <n v="90943"/>
    <x v="2"/>
    <x v="36"/>
    <x v="4"/>
    <x v="1"/>
    <x v="10"/>
    <x v="1"/>
    <s v="Low"/>
    <s v="No"/>
    <s v="Attention Needed"/>
    <n v="227518"/>
  </r>
  <r>
    <n v="25"/>
    <n v="20"/>
    <n v="5"/>
    <n v="90880"/>
    <x v="2"/>
    <x v="67"/>
    <x v="1"/>
    <x v="0"/>
    <x v="13"/>
    <x v="1"/>
    <s v="Low"/>
    <s v="No"/>
    <s v="Attention Needed"/>
    <n v="213977"/>
  </r>
  <r>
    <n v="474"/>
    <n v="81"/>
    <n v="5"/>
    <n v="90468"/>
    <x v="1"/>
    <x v="257"/>
    <x v="0"/>
    <x v="0"/>
    <x v="3"/>
    <x v="1"/>
    <s v="Low"/>
    <s v="No"/>
    <s v="Ok"/>
    <n v="44910"/>
  </r>
  <r>
    <n v="82"/>
    <n v="208"/>
    <n v="7"/>
    <n v="90384"/>
    <x v="2"/>
    <x v="258"/>
    <x v="1"/>
    <x v="4"/>
    <x v="0"/>
    <x v="1"/>
    <s v="Low"/>
    <s v="No"/>
    <s v="Attention Needed"/>
    <n v="93270"/>
  </r>
  <r>
    <n v="50"/>
    <n v="221"/>
    <n v="2"/>
    <n v="89985"/>
    <x v="0"/>
    <x v="248"/>
    <x v="0"/>
    <x v="2"/>
    <x v="9"/>
    <x v="1"/>
    <s v="Low"/>
    <s v="No"/>
    <s v="Attention Needed"/>
    <n v="56352"/>
  </r>
  <r>
    <n v="87"/>
    <n v="87"/>
    <n v="2"/>
    <n v="89782"/>
    <x v="0"/>
    <x v="124"/>
    <x v="0"/>
    <x v="2"/>
    <x v="11"/>
    <x v="1"/>
    <s v="Low"/>
    <s v="No"/>
    <s v="Attention Needed"/>
    <n v="98358"/>
  </r>
  <r>
    <n v="366"/>
    <n v="144"/>
    <n v="7"/>
    <n v="89710"/>
    <x v="2"/>
    <x v="259"/>
    <x v="1"/>
    <x v="4"/>
    <x v="1"/>
    <x v="1"/>
    <s v="Low"/>
    <s v="No"/>
    <s v="Attention Needed"/>
    <n v="36402"/>
  </r>
  <r>
    <n v="168"/>
    <n v="161"/>
    <n v="5"/>
    <n v="89479"/>
    <x v="1"/>
    <x v="15"/>
    <x v="4"/>
    <x v="0"/>
    <x v="8"/>
    <x v="1"/>
    <s v="Low"/>
    <s v="No"/>
    <s v="Ok"/>
    <n v="66273"/>
  </r>
  <r>
    <n v="410"/>
    <n v="254"/>
    <n v="9"/>
    <n v="89355"/>
    <x v="0"/>
    <x v="71"/>
    <x v="1"/>
    <x v="1"/>
    <x v="12"/>
    <x v="1"/>
    <s v="Low"/>
    <s v="No"/>
    <s v="Attention Needed"/>
    <n v="230477"/>
  </r>
  <r>
    <n v="286"/>
    <n v="80"/>
    <n v="5"/>
    <n v="89163"/>
    <x v="1"/>
    <x v="260"/>
    <x v="2"/>
    <x v="0"/>
    <x v="8"/>
    <x v="1"/>
    <s v="Low"/>
    <s v="No"/>
    <s v="Ok"/>
    <n v="183138"/>
  </r>
  <r>
    <n v="454"/>
    <n v="123"/>
    <n v="8"/>
    <n v="89110"/>
    <x v="2"/>
    <x v="135"/>
    <x v="0"/>
    <x v="0"/>
    <x v="14"/>
    <x v="1"/>
    <s v="Low"/>
    <s v="No"/>
    <s v="Attention Needed"/>
    <n v="208131"/>
  </r>
  <r>
    <n v="269"/>
    <n v="186"/>
    <n v="2"/>
    <n v="88829"/>
    <x v="0"/>
    <x v="131"/>
    <x v="1"/>
    <x v="2"/>
    <x v="13"/>
    <x v="1"/>
    <s v="Low"/>
    <s v="No"/>
    <s v="Attention Needed"/>
    <n v="213360"/>
  </r>
  <r>
    <n v="226"/>
    <n v="125"/>
    <n v="1"/>
    <n v="87616"/>
    <x v="0"/>
    <x v="168"/>
    <x v="4"/>
    <x v="4"/>
    <x v="3"/>
    <x v="1"/>
    <s v="Low"/>
    <s v="No"/>
    <s v="Attention Needed"/>
    <n v="182198"/>
  </r>
  <r>
    <n v="385"/>
    <n v="59"/>
    <n v="1"/>
    <n v="87337"/>
    <x v="2"/>
    <x v="126"/>
    <x v="1"/>
    <x v="4"/>
    <x v="10"/>
    <x v="1"/>
    <s v="Low"/>
    <s v="No"/>
    <s v="Attention Needed"/>
    <n v="205368"/>
  </r>
  <r>
    <n v="42"/>
    <n v="230"/>
    <n v="6"/>
    <n v="87175"/>
    <x v="0"/>
    <x v="39"/>
    <x v="2"/>
    <x v="3"/>
    <x v="7"/>
    <x v="1"/>
    <s v="Low"/>
    <s v="No"/>
    <s v="Attention Needed"/>
    <n v="158908"/>
  </r>
  <r>
    <n v="496"/>
    <n v="39"/>
    <n v="4"/>
    <n v="87133"/>
    <x v="1"/>
    <x v="261"/>
    <x v="1"/>
    <x v="3"/>
    <x v="6"/>
    <x v="1"/>
    <s v="Low"/>
    <s v="No"/>
    <s v="Ok"/>
    <n v="30850"/>
  </r>
  <r>
    <n v="45"/>
    <n v="246"/>
    <n v="7"/>
    <n v="86603"/>
    <x v="2"/>
    <x v="262"/>
    <x v="0"/>
    <x v="4"/>
    <x v="11"/>
    <x v="1"/>
    <s v="Low"/>
    <s v="No"/>
    <s v="Attention Needed"/>
    <n v="199773"/>
  </r>
  <r>
    <n v="251"/>
    <n v="20"/>
    <n v="1"/>
    <n v="86256"/>
    <x v="2"/>
    <x v="251"/>
    <x v="1"/>
    <x v="4"/>
    <x v="1"/>
    <x v="1"/>
    <s v="Low"/>
    <s v="No"/>
    <s v="Attention Needed"/>
    <n v="213977"/>
  </r>
  <r>
    <n v="347"/>
    <n v="200"/>
    <n v="6"/>
    <n v="85863"/>
    <x v="2"/>
    <x v="125"/>
    <x v="0"/>
    <x v="3"/>
    <x v="13"/>
    <x v="1"/>
    <s v="Low"/>
    <s v="No"/>
    <s v="Attention Needed"/>
    <n v="114490"/>
  </r>
  <r>
    <n v="199"/>
    <n v="190"/>
    <n v="9"/>
    <n v="85670"/>
    <x v="0"/>
    <x v="263"/>
    <x v="3"/>
    <x v="1"/>
    <x v="15"/>
    <x v="1"/>
    <s v="Low"/>
    <s v="No"/>
    <s v="Attention Needed"/>
    <n v="217436"/>
  </r>
  <r>
    <n v="376"/>
    <n v="205"/>
    <n v="6"/>
    <n v="85545"/>
    <x v="2"/>
    <x v="264"/>
    <x v="1"/>
    <x v="3"/>
    <x v="8"/>
    <x v="1"/>
    <s v="Low"/>
    <s v="No"/>
    <s v="Attention Needed"/>
    <n v="239146"/>
  </r>
  <r>
    <n v="84"/>
    <n v="186"/>
    <n v="2"/>
    <n v="85502"/>
    <x v="2"/>
    <x v="202"/>
    <x v="1"/>
    <x v="2"/>
    <x v="14"/>
    <x v="1"/>
    <s v="Low"/>
    <s v="No"/>
    <s v="Attention Needed"/>
    <n v="213360"/>
  </r>
  <r>
    <n v="380"/>
    <n v="177"/>
    <n v="1"/>
    <n v="84813"/>
    <x v="2"/>
    <x v="84"/>
    <x v="1"/>
    <x v="4"/>
    <x v="14"/>
    <x v="1"/>
    <s v="Low"/>
    <s v="No"/>
    <s v="Attention Needed"/>
    <n v="115680"/>
  </r>
  <r>
    <n v="100"/>
    <n v="78"/>
    <n v="1"/>
    <n v="84264"/>
    <x v="2"/>
    <x v="265"/>
    <x v="4"/>
    <x v="4"/>
    <x v="4"/>
    <x v="1"/>
    <s v="Low"/>
    <s v="No"/>
    <s v="Attention Needed"/>
    <n v="45331"/>
  </r>
  <r>
    <n v="391"/>
    <n v="143"/>
    <n v="2"/>
    <n v="83347"/>
    <x v="0"/>
    <x v="266"/>
    <x v="1"/>
    <x v="2"/>
    <x v="4"/>
    <x v="1"/>
    <s v="Low"/>
    <s v="No"/>
    <s v="Attention Needed"/>
    <n v="88888"/>
  </r>
  <r>
    <n v="383"/>
    <n v="248"/>
    <n v="6"/>
    <n v="81182"/>
    <x v="2"/>
    <x v="267"/>
    <x v="1"/>
    <x v="3"/>
    <x v="7"/>
    <x v="1"/>
    <s v="Low"/>
    <s v="No"/>
    <s v="Attention Needed"/>
    <n v="185987"/>
  </r>
  <r>
    <n v="326"/>
    <n v="221"/>
    <n v="3"/>
    <n v="80496"/>
    <x v="1"/>
    <x v="268"/>
    <x v="0"/>
    <x v="1"/>
    <x v="11"/>
    <x v="1"/>
    <s v="Low"/>
    <s v="No"/>
    <s v="Ok"/>
    <n v="56352"/>
  </r>
  <r>
    <n v="435"/>
    <n v="155"/>
    <n v="3"/>
    <n v="78937"/>
    <x v="2"/>
    <x v="61"/>
    <x v="0"/>
    <x v="1"/>
    <x v="10"/>
    <x v="1"/>
    <s v="Low"/>
    <s v="No"/>
    <s v="Attention Needed"/>
    <n v="71722"/>
  </r>
  <r>
    <n v="303"/>
    <n v="41"/>
    <n v="8"/>
    <n v="78477"/>
    <x v="2"/>
    <x v="269"/>
    <x v="2"/>
    <x v="0"/>
    <x v="12"/>
    <x v="1"/>
    <s v="Low"/>
    <s v="No"/>
    <s v="Attention Needed"/>
    <n v="197496"/>
  </r>
  <r>
    <n v="126"/>
    <n v="263"/>
    <n v="3"/>
    <n v="78084"/>
    <x v="2"/>
    <x v="270"/>
    <x v="4"/>
    <x v="1"/>
    <x v="1"/>
    <x v="1"/>
    <s v="Low"/>
    <s v="No"/>
    <s v="Attention Needed"/>
    <n v="114744"/>
  </r>
  <r>
    <n v="438"/>
    <n v="120"/>
    <n v="7"/>
    <n v="77814"/>
    <x v="0"/>
    <x v="196"/>
    <x v="1"/>
    <x v="4"/>
    <x v="10"/>
    <x v="1"/>
    <s v="Low"/>
    <s v="No"/>
    <s v="Attention Needed"/>
    <n v="36203"/>
  </r>
  <r>
    <n v="272"/>
    <n v="106"/>
    <n v="10"/>
    <n v="77679"/>
    <x v="2"/>
    <x v="271"/>
    <x v="3"/>
    <x v="3"/>
    <x v="1"/>
    <x v="1"/>
    <s v="Low"/>
    <s v="No"/>
    <s v="Attention Needed"/>
    <n v="59327"/>
  </r>
  <r>
    <n v="205"/>
    <n v="158"/>
    <n v="8"/>
    <n v="77211"/>
    <x v="1"/>
    <x v="272"/>
    <x v="0"/>
    <x v="0"/>
    <x v="1"/>
    <x v="1"/>
    <s v="Low"/>
    <s v="No"/>
    <s v="Ok"/>
    <n v="194298"/>
  </r>
  <r>
    <n v="349"/>
    <n v="139"/>
    <n v="2"/>
    <n v="75768"/>
    <x v="1"/>
    <x v="227"/>
    <x v="3"/>
    <x v="2"/>
    <x v="3"/>
    <x v="1"/>
    <s v="Low"/>
    <s v="No"/>
    <s v="Ok"/>
    <n v="151893"/>
  </r>
  <r>
    <n v="179"/>
    <n v="283"/>
    <n v="3"/>
    <n v="75201"/>
    <x v="0"/>
    <x v="150"/>
    <x v="0"/>
    <x v="1"/>
    <x v="13"/>
    <x v="1"/>
    <s v="Low"/>
    <s v="No"/>
    <s v="Attention Needed"/>
    <n v="149365"/>
  </r>
  <r>
    <n v="465"/>
    <n v="123"/>
    <n v="1"/>
    <n v="75200"/>
    <x v="1"/>
    <x v="273"/>
    <x v="0"/>
    <x v="4"/>
    <x v="1"/>
    <x v="1"/>
    <s v="Low"/>
    <s v="No"/>
    <s v="Ok"/>
    <n v="208131"/>
  </r>
  <r>
    <n v="140"/>
    <n v="293"/>
    <n v="7"/>
    <n v="74886"/>
    <x v="1"/>
    <x v="268"/>
    <x v="4"/>
    <x v="4"/>
    <x v="11"/>
    <x v="1"/>
    <s v="Low"/>
    <s v="No"/>
    <s v="Ok"/>
    <n v="193383"/>
  </r>
  <r>
    <n v="374"/>
    <n v="19"/>
    <n v="6"/>
    <n v="74555"/>
    <x v="0"/>
    <x v="274"/>
    <x v="4"/>
    <x v="3"/>
    <x v="13"/>
    <x v="1"/>
    <s v="Low"/>
    <s v="No"/>
    <s v="Attention Needed"/>
    <n v="127040"/>
  </r>
  <r>
    <n v="69"/>
    <n v="160"/>
    <n v="6"/>
    <n v="74541"/>
    <x v="0"/>
    <x v="275"/>
    <x v="4"/>
    <x v="3"/>
    <x v="9"/>
    <x v="1"/>
    <s v="Low"/>
    <s v="No"/>
    <s v="Attention Needed"/>
    <n v="101228"/>
  </r>
  <r>
    <n v="491"/>
    <n v="191"/>
    <n v="8"/>
    <n v="74513"/>
    <x v="0"/>
    <x v="154"/>
    <x v="2"/>
    <x v="0"/>
    <x v="12"/>
    <x v="1"/>
    <s v="Low"/>
    <s v="No"/>
    <s v="Attention Needed"/>
    <n v="56712"/>
  </r>
  <r>
    <n v="396"/>
    <n v="89"/>
    <n v="5"/>
    <n v="74434"/>
    <x v="0"/>
    <x v="112"/>
    <x v="1"/>
    <x v="0"/>
    <x v="10"/>
    <x v="1"/>
    <s v="Low"/>
    <s v="No"/>
    <s v="Attention Needed"/>
    <n v="149858"/>
  </r>
  <r>
    <n v="108"/>
    <n v="201"/>
    <n v="3"/>
    <n v="74417"/>
    <x v="0"/>
    <x v="203"/>
    <x v="1"/>
    <x v="1"/>
    <x v="15"/>
    <x v="1"/>
    <s v="Low"/>
    <s v="No"/>
    <s v="Attention Needed"/>
    <n v="103119"/>
  </r>
  <r>
    <n v="191"/>
    <n v="289"/>
    <n v="1"/>
    <n v="72584"/>
    <x v="1"/>
    <x v="123"/>
    <x v="0"/>
    <x v="4"/>
    <x v="8"/>
    <x v="1"/>
    <s v="Low"/>
    <s v="No"/>
    <s v="Ok"/>
    <n v="56309"/>
  </r>
  <r>
    <n v="330"/>
    <n v="116"/>
    <n v="5"/>
    <n v="72266"/>
    <x v="0"/>
    <x v="195"/>
    <x v="1"/>
    <x v="0"/>
    <x v="5"/>
    <x v="1"/>
    <s v="Low"/>
    <s v="No"/>
    <s v="Attention Needed"/>
    <n v="71732"/>
  </r>
  <r>
    <n v="328"/>
    <n v="182"/>
    <n v="5"/>
    <n v="71428"/>
    <x v="2"/>
    <x v="102"/>
    <x v="2"/>
    <x v="0"/>
    <x v="0"/>
    <x v="1"/>
    <s v="Low"/>
    <s v="No"/>
    <s v="Attention Needed"/>
    <n v="227717"/>
  </r>
  <r>
    <n v="85"/>
    <n v="224"/>
    <n v="10"/>
    <n v="71233"/>
    <x v="2"/>
    <x v="276"/>
    <x v="0"/>
    <x v="3"/>
    <x v="0"/>
    <x v="1"/>
    <s v="Low"/>
    <s v="No"/>
    <s v="Attention Needed"/>
    <n v="101909"/>
  </r>
  <r>
    <n v="341"/>
    <n v="51"/>
    <n v="7"/>
    <n v="69855"/>
    <x v="1"/>
    <x v="277"/>
    <x v="0"/>
    <x v="4"/>
    <x v="15"/>
    <x v="1"/>
    <s v="Low"/>
    <s v="No"/>
    <s v="Ok"/>
    <n v="216895"/>
  </r>
  <r>
    <n v="181"/>
    <n v="211"/>
    <n v="7"/>
    <n v="68666"/>
    <x v="0"/>
    <x v="117"/>
    <x v="3"/>
    <x v="4"/>
    <x v="6"/>
    <x v="1"/>
    <s v="Low"/>
    <s v="No"/>
    <s v="Attention Needed"/>
    <n v="237862"/>
  </r>
  <r>
    <n v="345"/>
    <n v="152"/>
    <n v="4"/>
    <n v="68538"/>
    <x v="0"/>
    <x v="96"/>
    <x v="1"/>
    <x v="3"/>
    <x v="13"/>
    <x v="1"/>
    <s v="Low"/>
    <s v="No"/>
    <s v="Attention Needed"/>
    <n v="149658"/>
  </r>
  <r>
    <n v="457"/>
    <n v="280"/>
    <n v="3"/>
    <n v="68268"/>
    <x v="2"/>
    <x v="160"/>
    <x v="4"/>
    <x v="1"/>
    <x v="8"/>
    <x v="1"/>
    <s v="Low"/>
    <s v="No"/>
    <s v="Attention Needed"/>
    <n v="104144"/>
  </r>
  <r>
    <n v="369"/>
    <n v="108"/>
    <n v="8"/>
    <n v="66259"/>
    <x v="2"/>
    <x v="278"/>
    <x v="0"/>
    <x v="0"/>
    <x v="4"/>
    <x v="1"/>
    <s v="Low"/>
    <s v="No"/>
    <s v="Attention Needed"/>
    <n v="142666"/>
  </r>
  <r>
    <n v="278"/>
    <n v="33"/>
    <n v="9"/>
    <n v="66185"/>
    <x v="1"/>
    <x v="279"/>
    <x v="1"/>
    <x v="1"/>
    <x v="1"/>
    <x v="1"/>
    <s v="Low"/>
    <s v="No"/>
    <s v="Ok"/>
    <n v="186345"/>
  </r>
  <r>
    <n v="93"/>
    <n v="162"/>
    <n v="3"/>
    <n v="65801"/>
    <x v="2"/>
    <x v="280"/>
    <x v="1"/>
    <x v="1"/>
    <x v="7"/>
    <x v="1"/>
    <s v="Low"/>
    <s v="No"/>
    <s v="Attention Needed"/>
    <n v="211914"/>
  </r>
  <r>
    <n v="144"/>
    <n v="130"/>
    <n v="1"/>
    <n v="65420"/>
    <x v="2"/>
    <x v="281"/>
    <x v="4"/>
    <x v="4"/>
    <x v="15"/>
    <x v="1"/>
    <s v="Low"/>
    <s v="No"/>
    <s v="Attention Needed"/>
    <n v="215803"/>
  </r>
  <r>
    <n v="164"/>
    <n v="225"/>
    <n v="1"/>
    <n v="65249"/>
    <x v="1"/>
    <x v="114"/>
    <x v="2"/>
    <x v="4"/>
    <x v="3"/>
    <x v="1"/>
    <s v="Low"/>
    <s v="No"/>
    <s v="Ok"/>
    <n v="212823"/>
  </r>
  <r>
    <n v="174"/>
    <n v="164"/>
    <n v="6"/>
    <n v="64046"/>
    <x v="0"/>
    <x v="282"/>
    <x v="4"/>
    <x v="3"/>
    <x v="12"/>
    <x v="1"/>
    <s v="Low"/>
    <s v="No"/>
    <s v="Attention Needed"/>
    <n v="138992"/>
  </r>
  <r>
    <n v="471"/>
    <n v="220"/>
    <n v="5"/>
    <n v="63487"/>
    <x v="0"/>
    <x v="283"/>
    <x v="3"/>
    <x v="0"/>
    <x v="14"/>
    <x v="1"/>
    <s v="Low"/>
    <s v="No"/>
    <s v="Attention Needed"/>
    <n v="219945"/>
  </r>
  <r>
    <n v="41"/>
    <n v="216"/>
    <n v="9"/>
    <n v="63322"/>
    <x v="1"/>
    <x v="284"/>
    <x v="4"/>
    <x v="1"/>
    <x v="7"/>
    <x v="1"/>
    <s v="Low"/>
    <s v="No"/>
    <s v="Ok"/>
    <n v="214249"/>
  </r>
  <r>
    <n v="356"/>
    <n v="138"/>
    <n v="8"/>
    <n v="63170"/>
    <x v="1"/>
    <x v="73"/>
    <x v="2"/>
    <x v="0"/>
    <x v="6"/>
    <x v="1"/>
    <s v="Low"/>
    <s v="No"/>
    <s v="Ok"/>
    <n v="105212"/>
  </r>
  <r>
    <n v="56"/>
    <n v="191"/>
    <n v="3"/>
    <n v="61447"/>
    <x v="0"/>
    <x v="100"/>
    <x v="2"/>
    <x v="1"/>
    <x v="12"/>
    <x v="1"/>
    <s v="Low"/>
    <s v="No"/>
    <s v="Attention Needed"/>
    <n v="56712"/>
  </r>
  <r>
    <n v="247"/>
    <n v="148"/>
    <n v="6"/>
    <n v="61018"/>
    <x v="2"/>
    <x v="285"/>
    <x v="3"/>
    <x v="3"/>
    <x v="1"/>
    <x v="1"/>
    <s v="Low"/>
    <s v="No"/>
    <s v="Attention Needed"/>
    <n v="134766"/>
  </r>
  <r>
    <n v="274"/>
    <n v="263"/>
    <n v="7"/>
    <n v="60270"/>
    <x v="2"/>
    <x v="140"/>
    <x v="4"/>
    <x v="4"/>
    <x v="12"/>
    <x v="1"/>
    <s v="Low"/>
    <s v="No"/>
    <s v="Attention Needed"/>
    <n v="114744"/>
  </r>
  <r>
    <n v="94"/>
    <n v="227"/>
    <n v="5"/>
    <n v="59450"/>
    <x v="2"/>
    <x v="286"/>
    <x v="2"/>
    <x v="0"/>
    <x v="15"/>
    <x v="1"/>
    <s v="Low"/>
    <s v="No"/>
    <s v="Attention Needed"/>
    <n v="153049"/>
  </r>
  <r>
    <n v="184"/>
    <n v="67"/>
    <n v="7"/>
    <n v="59052"/>
    <x v="0"/>
    <x v="42"/>
    <x v="1"/>
    <x v="4"/>
    <x v="9"/>
    <x v="1"/>
    <s v="Low"/>
    <s v="No"/>
    <s v="Attention Needed"/>
    <n v="66747"/>
  </r>
  <r>
    <n v="466"/>
    <n v="223"/>
    <n v="2"/>
    <n v="58850"/>
    <x v="2"/>
    <x v="203"/>
    <x v="1"/>
    <x v="2"/>
    <x v="15"/>
    <x v="1"/>
    <s v="Low"/>
    <s v="No"/>
    <s v="Attention Needed"/>
    <n v="33708"/>
  </r>
  <r>
    <n v="75"/>
    <n v="113"/>
    <n v="7"/>
    <n v="58721"/>
    <x v="0"/>
    <x v="238"/>
    <x v="1"/>
    <x v="4"/>
    <x v="8"/>
    <x v="1"/>
    <s v="Low"/>
    <s v="No"/>
    <s v="Attention Needed"/>
    <n v="72598"/>
  </r>
  <r>
    <n v="453"/>
    <n v="201"/>
    <n v="5"/>
    <n v="58609"/>
    <x v="0"/>
    <x v="191"/>
    <x v="1"/>
    <x v="0"/>
    <x v="4"/>
    <x v="1"/>
    <s v="Low"/>
    <s v="No"/>
    <s v="Attention Needed"/>
    <n v="103119"/>
  </r>
  <r>
    <n v="58"/>
    <n v="182"/>
    <n v="7"/>
    <n v="56972"/>
    <x v="0"/>
    <x v="90"/>
    <x v="2"/>
    <x v="4"/>
    <x v="16"/>
    <x v="1"/>
    <s v="Low"/>
    <s v="No"/>
    <s v="Attention Needed"/>
    <n v="227717"/>
  </r>
  <r>
    <n v="224"/>
    <n v="297"/>
    <n v="10"/>
    <n v="56924"/>
    <x v="1"/>
    <x v="23"/>
    <x v="1"/>
    <x v="3"/>
    <x v="12"/>
    <x v="1"/>
    <s v="Low"/>
    <s v="No"/>
    <s v="Ok"/>
    <n v="89634"/>
  </r>
  <r>
    <n v="201"/>
    <n v="127"/>
    <n v="3"/>
    <n v="56531"/>
    <x v="1"/>
    <x v="287"/>
    <x v="3"/>
    <x v="1"/>
    <x v="14"/>
    <x v="1"/>
    <s v="Low"/>
    <s v="No"/>
    <s v="Ok"/>
    <n v="220983"/>
  </r>
  <r>
    <n v="207"/>
    <n v="299"/>
    <n v="6"/>
    <n v="56497"/>
    <x v="1"/>
    <x v="288"/>
    <x v="2"/>
    <x v="3"/>
    <x v="14"/>
    <x v="1"/>
    <s v="Low"/>
    <s v="No"/>
    <s v="Ok"/>
    <n v="73611"/>
  </r>
  <r>
    <n v="70"/>
    <n v="27"/>
    <n v="3"/>
    <n v="56089"/>
    <x v="1"/>
    <x v="289"/>
    <x v="3"/>
    <x v="1"/>
    <x v="10"/>
    <x v="1"/>
    <s v="Low"/>
    <s v="No"/>
    <s v="Ok"/>
    <n v="198519"/>
  </r>
  <r>
    <n v="8"/>
    <n v="5"/>
    <n v="10"/>
    <n v="55713"/>
    <x v="0"/>
    <x v="290"/>
    <x v="1"/>
    <x v="3"/>
    <x v="1"/>
    <x v="1"/>
    <s v="Low"/>
    <s v="No"/>
    <s v="Attention Needed"/>
    <n v="177127"/>
  </r>
  <r>
    <n v="431"/>
    <n v="249"/>
    <n v="6"/>
    <n v="55380"/>
    <x v="0"/>
    <x v="123"/>
    <x v="0"/>
    <x v="3"/>
    <x v="8"/>
    <x v="1"/>
    <s v="Low"/>
    <s v="No"/>
    <s v="Attention Needed"/>
    <n v="145121"/>
  </r>
  <r>
    <n v="152"/>
    <n v="98"/>
    <n v="5"/>
    <n v="55063"/>
    <x v="2"/>
    <x v="64"/>
    <x v="1"/>
    <x v="0"/>
    <x v="9"/>
    <x v="1"/>
    <s v="Low"/>
    <s v="No"/>
    <s v="Attention Needed"/>
    <n v="60258"/>
  </r>
  <r>
    <n v="295"/>
    <n v="219"/>
    <n v="9"/>
    <n v="54580"/>
    <x v="2"/>
    <x v="291"/>
    <x v="0"/>
    <x v="1"/>
    <x v="16"/>
    <x v="1"/>
    <s v="Low"/>
    <s v="No"/>
    <s v="Attention Needed"/>
    <n v="80211"/>
  </r>
  <r>
    <n v="480"/>
    <n v="27"/>
    <n v="3"/>
    <n v="54079"/>
    <x v="1"/>
    <x v="292"/>
    <x v="3"/>
    <x v="1"/>
    <x v="16"/>
    <x v="1"/>
    <s v="Low"/>
    <s v="No"/>
    <s v="Ok"/>
    <n v="198519"/>
  </r>
  <r>
    <n v="375"/>
    <n v="128"/>
    <n v="6"/>
    <n v="53224"/>
    <x v="1"/>
    <x v="234"/>
    <x v="4"/>
    <x v="3"/>
    <x v="12"/>
    <x v="1"/>
    <s v="Low"/>
    <s v="No"/>
    <s v="Ok"/>
    <n v="188914"/>
  </r>
  <r>
    <n v="289"/>
    <n v="25"/>
    <n v="4"/>
    <n v="53192"/>
    <x v="0"/>
    <x v="4"/>
    <x v="4"/>
    <x v="3"/>
    <x v="0"/>
    <x v="1"/>
    <s v="Low"/>
    <s v="No"/>
    <s v="Attention Needed"/>
    <n v="100186"/>
  </r>
  <r>
    <n v="43"/>
    <n v="258"/>
    <n v="4"/>
    <n v="52735"/>
    <x v="0"/>
    <x v="138"/>
    <x v="3"/>
    <x v="3"/>
    <x v="2"/>
    <x v="1"/>
    <s v="Low"/>
    <s v="No"/>
    <s v="Attention Needed"/>
    <n v="53918"/>
  </r>
  <r>
    <n v="334"/>
    <n v="170"/>
    <n v="10"/>
    <n v="52309"/>
    <x v="1"/>
    <x v="293"/>
    <x v="4"/>
    <x v="3"/>
    <x v="3"/>
    <x v="1"/>
    <s v="Low"/>
    <s v="No"/>
    <s v="Ok"/>
    <n v="157308"/>
  </r>
  <r>
    <n v="160"/>
    <n v="228"/>
    <n v="6"/>
    <n v="52206"/>
    <x v="2"/>
    <x v="138"/>
    <x v="3"/>
    <x v="3"/>
    <x v="2"/>
    <x v="1"/>
    <s v="Low"/>
    <s v="No"/>
    <s v="Attention Needed"/>
    <n v="78329"/>
  </r>
  <r>
    <n v="98"/>
    <n v="237"/>
    <n v="10"/>
    <n v="51507"/>
    <x v="0"/>
    <x v="194"/>
    <x v="0"/>
    <x v="3"/>
    <x v="7"/>
    <x v="1"/>
    <s v="Low"/>
    <s v="No"/>
    <s v="Attention Needed"/>
    <n v="189811"/>
  </r>
  <r>
    <n v="216"/>
    <n v="257"/>
    <n v="1"/>
    <n v="50402"/>
    <x v="1"/>
    <x v="91"/>
    <x v="3"/>
    <x v="4"/>
    <x v="6"/>
    <x v="1"/>
    <s v="Low"/>
    <s v="No"/>
    <s v="Ok"/>
    <n v="77576"/>
  </r>
  <r>
    <n v="114"/>
    <n v="52"/>
    <n v="9"/>
    <n v="49790"/>
    <x v="0"/>
    <x v="294"/>
    <x v="3"/>
    <x v="1"/>
    <x v="10"/>
    <x v="1"/>
    <s v="Low"/>
    <s v="No"/>
    <s v="Attention Needed"/>
    <n v="144845"/>
  </r>
  <r>
    <n v="248"/>
    <n v="46"/>
    <n v="10"/>
    <n v="49555"/>
    <x v="1"/>
    <x v="43"/>
    <x v="1"/>
    <x v="3"/>
    <x v="1"/>
    <x v="1"/>
    <s v="Low"/>
    <s v="No"/>
    <s v="Ok"/>
    <n v="52453"/>
  </r>
  <r>
    <n v="151"/>
    <n v="279"/>
    <n v="8"/>
    <n v="49199"/>
    <x v="2"/>
    <x v="187"/>
    <x v="3"/>
    <x v="0"/>
    <x v="2"/>
    <x v="1"/>
    <s v="Low"/>
    <s v="No"/>
    <s v="Attention Needed"/>
    <n v="236495"/>
  </r>
  <r>
    <n v="249"/>
    <n v="90"/>
    <n v="7"/>
    <n v="49052"/>
    <x v="1"/>
    <x v="295"/>
    <x v="2"/>
    <x v="4"/>
    <x v="9"/>
    <x v="1"/>
    <s v="Low"/>
    <s v="No"/>
    <s v="Ok"/>
    <n v="150136"/>
  </r>
  <r>
    <n v="319"/>
    <n v="278"/>
    <n v="1"/>
    <n v="47733"/>
    <x v="0"/>
    <x v="296"/>
    <x v="0"/>
    <x v="4"/>
    <x v="9"/>
    <x v="1"/>
    <s v="Low"/>
    <s v="No"/>
    <s v="Attention Needed"/>
    <n v="48300"/>
  </r>
  <r>
    <n v="288"/>
    <n v="35"/>
    <n v="2"/>
    <n v="47603"/>
    <x v="0"/>
    <x v="211"/>
    <x v="0"/>
    <x v="2"/>
    <x v="7"/>
    <x v="1"/>
    <s v="Low"/>
    <s v="No"/>
    <s v="Attention Needed"/>
    <n v="175024"/>
  </r>
  <r>
    <n v="336"/>
    <n v="39"/>
    <n v="5"/>
    <n v="47250"/>
    <x v="0"/>
    <x v="297"/>
    <x v="1"/>
    <x v="0"/>
    <x v="3"/>
    <x v="1"/>
    <s v="Low"/>
    <s v="No"/>
    <s v="Attention Needed"/>
    <n v="30850"/>
  </r>
  <r>
    <n v="165"/>
    <n v="188"/>
    <n v="6"/>
    <n v="46979"/>
    <x v="2"/>
    <x v="7"/>
    <x v="2"/>
    <x v="3"/>
    <x v="5"/>
    <x v="1"/>
    <s v="Low"/>
    <s v="No"/>
    <s v="Attention Needed"/>
    <n v="111536"/>
  </r>
  <r>
    <n v="413"/>
    <n v="53"/>
    <n v="4"/>
    <n v="46898"/>
    <x v="2"/>
    <x v="194"/>
    <x v="0"/>
    <x v="3"/>
    <x v="7"/>
    <x v="1"/>
    <s v="Low"/>
    <s v="No"/>
    <s v="Attention Needed"/>
    <n v="61720"/>
  </r>
  <r>
    <n v="44"/>
    <n v="267"/>
    <n v="5"/>
    <n v="46331"/>
    <x v="2"/>
    <x v="131"/>
    <x v="3"/>
    <x v="0"/>
    <x v="13"/>
    <x v="1"/>
    <s v="Low"/>
    <s v="No"/>
    <s v="Attention Needed"/>
    <n v="229226"/>
  </r>
  <r>
    <n v="407"/>
    <n v="86"/>
    <n v="2"/>
    <n v="46179"/>
    <x v="0"/>
    <x v="169"/>
    <x v="2"/>
    <x v="2"/>
    <x v="4"/>
    <x v="1"/>
    <s v="Low"/>
    <s v="No"/>
    <s v="Attention Needed"/>
    <n v="139897"/>
  </r>
  <r>
    <n v="193"/>
    <n v="293"/>
    <n v="7"/>
    <n v="45878"/>
    <x v="0"/>
    <x v="298"/>
    <x v="4"/>
    <x v="4"/>
    <x v="11"/>
    <x v="1"/>
    <s v="Low"/>
    <s v="No"/>
    <s v="Attention Needed"/>
    <n v="193383"/>
  </r>
  <r>
    <n v="127"/>
    <n v="114"/>
    <n v="8"/>
    <n v="43982"/>
    <x v="2"/>
    <x v="299"/>
    <x v="1"/>
    <x v="0"/>
    <x v="0"/>
    <x v="1"/>
    <s v="Low"/>
    <s v="No"/>
    <s v="Attention Needed"/>
    <n v="36497"/>
  </r>
  <r>
    <n v="63"/>
    <n v="116"/>
    <n v="7"/>
    <n v="43764"/>
    <x v="0"/>
    <x v="161"/>
    <x v="1"/>
    <x v="4"/>
    <x v="5"/>
    <x v="1"/>
    <s v="Low"/>
    <s v="No"/>
    <s v="Attention Needed"/>
    <n v="71732"/>
  </r>
  <r>
    <n v="38"/>
    <n v="129"/>
    <n v="3"/>
    <n v="43516"/>
    <x v="1"/>
    <x v="54"/>
    <x v="2"/>
    <x v="1"/>
    <x v="6"/>
    <x v="1"/>
    <s v="Low"/>
    <s v="No"/>
    <s v="Ok"/>
    <n v="181149"/>
  </r>
  <r>
    <n v="283"/>
    <n v="66"/>
    <n v="4"/>
    <n v="41919"/>
    <x v="1"/>
    <x v="300"/>
    <x v="4"/>
    <x v="3"/>
    <x v="16"/>
    <x v="1"/>
    <s v="Low"/>
    <s v="No"/>
    <s v="Ok"/>
    <n v="95183"/>
  </r>
  <r>
    <n v="275"/>
    <n v="237"/>
    <n v="5"/>
    <n v="41413"/>
    <x v="0"/>
    <x v="276"/>
    <x v="0"/>
    <x v="0"/>
    <x v="0"/>
    <x v="1"/>
    <s v="Low"/>
    <s v="No"/>
    <s v="Attention Needed"/>
    <n v="189811"/>
  </r>
  <r>
    <n v="80"/>
    <n v="204"/>
    <n v="1"/>
    <n v="39825"/>
    <x v="2"/>
    <x v="301"/>
    <x v="3"/>
    <x v="4"/>
    <x v="7"/>
    <x v="1"/>
    <s v="Low"/>
    <s v="No"/>
    <s v="Attention Needed"/>
    <n v="77668"/>
  </r>
  <r>
    <n v="325"/>
    <n v="141"/>
    <n v="9"/>
    <n v="38987"/>
    <x v="2"/>
    <x v="255"/>
    <x v="1"/>
    <x v="1"/>
    <x v="11"/>
    <x v="1"/>
    <s v="Low"/>
    <s v="No"/>
    <s v="Attention Needed"/>
    <n v="104392"/>
  </r>
  <r>
    <n v="324"/>
    <n v="283"/>
    <n v="7"/>
    <n v="38769"/>
    <x v="1"/>
    <x v="124"/>
    <x v="0"/>
    <x v="4"/>
    <x v="11"/>
    <x v="1"/>
    <s v="Low"/>
    <s v="No"/>
    <s v="Ok"/>
    <n v="149365"/>
  </r>
  <r>
    <n v="221"/>
    <n v="289"/>
    <n v="5"/>
    <n v="38722"/>
    <x v="2"/>
    <x v="11"/>
    <x v="0"/>
    <x v="0"/>
    <x v="0"/>
    <x v="1"/>
    <s v="Low"/>
    <s v="No"/>
    <s v="Attention Needed"/>
    <n v="56309"/>
  </r>
  <r>
    <n v="137"/>
    <n v="57"/>
    <n v="8"/>
    <n v="38616"/>
    <x v="0"/>
    <x v="26"/>
    <x v="2"/>
    <x v="0"/>
    <x v="5"/>
    <x v="1"/>
    <s v="Low"/>
    <s v="No"/>
    <s v="Attention Needed"/>
    <n v="47668"/>
  </r>
  <r>
    <n v="306"/>
    <n v="107"/>
    <n v="6"/>
    <n v="38039"/>
    <x v="2"/>
    <x v="302"/>
    <x v="1"/>
    <x v="3"/>
    <x v="3"/>
    <x v="1"/>
    <s v="Low"/>
    <s v="No"/>
    <s v="Attention Needed"/>
    <n v="248784"/>
  </r>
  <r>
    <n v="475"/>
    <n v="261"/>
    <n v="1"/>
    <n v="36442"/>
    <x v="1"/>
    <x v="303"/>
    <x v="3"/>
    <x v="4"/>
    <x v="14"/>
    <x v="1"/>
    <s v="Low"/>
    <s v="No"/>
    <s v="Ok"/>
    <n v="203692"/>
  </r>
  <r>
    <n v="455"/>
    <n v="256"/>
    <n v="10"/>
    <n v="36326"/>
    <x v="1"/>
    <x v="304"/>
    <x v="1"/>
    <x v="3"/>
    <x v="0"/>
    <x v="1"/>
    <s v="Low"/>
    <s v="No"/>
    <s v="Ok"/>
    <n v="166043"/>
  </r>
  <r>
    <n v="332"/>
    <n v="283"/>
    <n v="8"/>
    <n v="34954"/>
    <x v="1"/>
    <x v="85"/>
    <x v="0"/>
    <x v="0"/>
    <x v="10"/>
    <x v="1"/>
    <s v="Low"/>
    <s v="No"/>
    <s v="Ok"/>
    <n v="149365"/>
  </r>
  <r>
    <n v="1"/>
    <n v="131"/>
    <n v="8"/>
    <n v="34926"/>
    <x v="2"/>
    <x v="271"/>
    <x v="2"/>
    <x v="0"/>
    <x v="1"/>
    <x v="1"/>
    <s v="Low"/>
    <s v="No"/>
    <s v="Attention Needed"/>
    <n v="125478"/>
  </r>
  <r>
    <n v="445"/>
    <n v="74"/>
    <n v="2"/>
    <n v="34443"/>
    <x v="0"/>
    <x v="305"/>
    <x v="2"/>
    <x v="2"/>
    <x v="5"/>
    <x v="1"/>
    <s v="Low"/>
    <s v="No"/>
    <s v="Attention Needed"/>
    <n v="129345"/>
  </r>
  <r>
    <n v="360"/>
    <n v="55"/>
    <n v="3"/>
    <n v="33548"/>
    <x v="2"/>
    <x v="253"/>
    <x v="0"/>
    <x v="1"/>
    <x v="1"/>
    <x v="1"/>
    <s v="Low"/>
    <s v="No"/>
    <s v="Attention Needed"/>
    <n v="184256"/>
  </r>
  <r>
    <n v="323"/>
    <n v="248"/>
    <n v="8"/>
    <n v="33466"/>
    <x v="1"/>
    <x v="75"/>
    <x v="1"/>
    <x v="0"/>
    <x v="11"/>
    <x v="1"/>
    <s v="Low"/>
    <s v="No"/>
    <s v="Ok"/>
    <n v="185987"/>
  </r>
  <r>
    <n v="65"/>
    <n v="159"/>
    <n v="6"/>
    <n v="33201"/>
    <x v="2"/>
    <x v="93"/>
    <x v="4"/>
    <x v="3"/>
    <x v="3"/>
    <x v="1"/>
    <s v="Low"/>
    <s v="No"/>
    <s v="Attention Needed"/>
    <n v="50311"/>
  </r>
  <r>
    <n v="433"/>
    <n v="81"/>
    <n v="8"/>
    <n v="30354"/>
    <x v="2"/>
    <x v="72"/>
    <x v="0"/>
    <x v="0"/>
    <x v="16"/>
    <x v="1"/>
    <s v="Low"/>
    <s v="No"/>
    <s v="Attention Needed"/>
    <n v="4491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
    <s v="Belgrade"/>
    <x v="0"/>
    <n v="224393"/>
    <s v="2024-05-20"/>
  </r>
  <r>
    <n v="2"/>
    <s v="Novi Sad"/>
    <x v="1"/>
    <n v="66579"/>
    <s v="2025-01-12"/>
  </r>
  <r>
    <n v="3"/>
    <s v="Belgrade"/>
    <x v="0"/>
    <n v="184794"/>
    <s v="2024-08-04"/>
  </r>
  <r>
    <n v="4"/>
    <s v="Belgrade"/>
    <x v="0"/>
    <n v="54561"/>
    <s v="2024-04-21"/>
  </r>
  <r>
    <n v="5"/>
    <s v="Novi Sad"/>
    <x v="0"/>
    <n v="177127"/>
    <s v="2024-04-11"/>
  </r>
  <r>
    <n v="6"/>
    <s v="Nis"/>
    <x v="2"/>
    <n v="87787"/>
    <s v="2024-08-17"/>
  </r>
  <r>
    <n v="7"/>
    <s v="Nis"/>
    <x v="3"/>
    <n v="242187"/>
    <s v="2025-03-21"/>
  </r>
  <r>
    <n v="8"/>
    <s v="Belgrade"/>
    <x v="1"/>
    <n v="213013"/>
    <s v="2024-08-04"/>
  </r>
  <r>
    <n v="9"/>
    <s v="Subotica"/>
    <x v="3"/>
    <n v="70758"/>
    <s v="2024-04-20"/>
  </r>
  <r>
    <n v="10"/>
    <s v="Subotica"/>
    <x v="0"/>
    <n v="54312"/>
    <s v="2024-07-13"/>
  </r>
  <r>
    <n v="11"/>
    <s v="Belgrade"/>
    <x v="3"/>
    <n v="120165"/>
    <s v="2024-11-05"/>
  </r>
  <r>
    <n v="12"/>
    <s v="Subotica"/>
    <x v="0"/>
    <n v="221294"/>
    <s v="2024-08-23"/>
  </r>
  <r>
    <n v="13"/>
    <s v="Nis"/>
    <x v="0"/>
    <n v="129230"/>
    <s v="2024-02-10"/>
  </r>
  <r>
    <n v="14"/>
    <s v="Nis"/>
    <x v="3"/>
    <n v="247423"/>
    <s v="2024-11-17"/>
  </r>
  <r>
    <n v="15"/>
    <s v="Nis"/>
    <x v="3"/>
    <n v="181349"/>
    <s v="2024-04-08"/>
  </r>
  <r>
    <n v="16"/>
    <s v="Belgrade"/>
    <x v="0"/>
    <n v="203346"/>
    <s v="2024-04-26"/>
  </r>
  <r>
    <n v="17"/>
    <s v="Subotica"/>
    <x v="0"/>
    <n v="91024"/>
    <s v="2025-03-19"/>
  </r>
  <r>
    <n v="18"/>
    <s v="Belgrade"/>
    <x v="2"/>
    <n v="102869"/>
    <s v="2024-08-20"/>
  </r>
  <r>
    <n v="19"/>
    <s v="Subotica"/>
    <x v="1"/>
    <n v="127040"/>
    <s v="2024-06-30"/>
  </r>
  <r>
    <n v="20"/>
    <s v="Novi Sad"/>
    <x v="3"/>
    <n v="213977"/>
    <s v="2025-04-24"/>
  </r>
  <r>
    <n v="21"/>
    <s v="Belgrade"/>
    <x v="1"/>
    <n v="170021"/>
    <s v="2025-01-08"/>
  </r>
  <r>
    <n v="22"/>
    <s v="Novi Sad"/>
    <x v="1"/>
    <n v="151178"/>
    <s v="2024-07-13"/>
  </r>
  <r>
    <n v="23"/>
    <s v="Subotica"/>
    <x v="1"/>
    <n v="209467"/>
    <s v="2024-06-15"/>
  </r>
  <r>
    <n v="24"/>
    <s v="Belgrade"/>
    <x v="1"/>
    <n v="245430"/>
    <s v="2024-01-17"/>
  </r>
  <r>
    <n v="25"/>
    <s v="Subotica"/>
    <x v="2"/>
    <n v="100186"/>
    <s v="2024-02-03"/>
  </r>
  <r>
    <n v="26"/>
    <s v="Novi Sad"/>
    <x v="3"/>
    <n v="85738"/>
    <s v="2024-12-01"/>
  </r>
  <r>
    <n v="27"/>
    <s v="Becej"/>
    <x v="2"/>
    <n v="198519"/>
    <s v="2024-08-22"/>
  </r>
  <r>
    <n v="28"/>
    <s v="Novi Sad"/>
    <x v="3"/>
    <n v="66603"/>
    <s v="2024-05-06"/>
  </r>
  <r>
    <n v="29"/>
    <s v="Nis"/>
    <x v="3"/>
    <n v="225825"/>
    <s v="2024-10-26"/>
  </r>
  <r>
    <n v="30"/>
    <s v="Becej"/>
    <x v="2"/>
    <n v="124895"/>
    <s v="2024-04-22"/>
  </r>
  <r>
    <n v="31"/>
    <s v="Novi Sad"/>
    <x v="2"/>
    <n v="53831"/>
    <s v="2025-01-21"/>
  </r>
  <r>
    <n v="32"/>
    <s v="Belgrade"/>
    <x v="0"/>
    <n v="70066"/>
    <s v="2024-11-17"/>
  </r>
  <r>
    <n v="33"/>
    <s v="Novi Sad"/>
    <x v="2"/>
    <n v="186345"/>
    <s v="2024-02-02"/>
  </r>
  <r>
    <n v="34"/>
    <s v="Becej"/>
    <x v="2"/>
    <n v="186208"/>
    <s v="2024-08-27"/>
  </r>
  <r>
    <n v="35"/>
    <s v="Nis"/>
    <x v="3"/>
    <n v="175024"/>
    <s v="2025-03-16"/>
  </r>
  <r>
    <n v="36"/>
    <s v="Belgrade"/>
    <x v="0"/>
    <n v="208706"/>
    <s v="2025-03-29"/>
  </r>
  <r>
    <n v="37"/>
    <s v="Nis"/>
    <x v="3"/>
    <n v="231483"/>
    <s v="2024-11-24"/>
  </r>
  <r>
    <n v="38"/>
    <s v="Subotica"/>
    <x v="0"/>
    <n v="106939"/>
    <s v="2024-08-10"/>
  </r>
  <r>
    <n v="39"/>
    <s v="Novi Sad"/>
    <x v="2"/>
    <n v="30850"/>
    <s v="2025-05-03"/>
  </r>
  <r>
    <n v="40"/>
    <s v="Subotica"/>
    <x v="1"/>
    <n v="163085"/>
    <s v="2025-04-12"/>
  </r>
  <r>
    <n v="41"/>
    <s v="Belgrade"/>
    <x v="3"/>
    <n v="197496"/>
    <s v="2024-09-16"/>
  </r>
  <r>
    <n v="42"/>
    <s v="Nis"/>
    <x v="1"/>
    <n v="70065"/>
    <s v="2024-07-10"/>
  </r>
  <r>
    <n v="43"/>
    <s v="Novi Sad"/>
    <x v="0"/>
    <n v="187009"/>
    <s v="2024-06-14"/>
  </r>
  <r>
    <n v="44"/>
    <s v="Becej"/>
    <x v="0"/>
    <n v="59325"/>
    <s v="2025-04-20"/>
  </r>
  <r>
    <n v="45"/>
    <s v="Subotica"/>
    <x v="3"/>
    <n v="92770"/>
    <s v="2024-01-30"/>
  </r>
  <r>
    <n v="46"/>
    <s v="Novi Sad"/>
    <x v="0"/>
    <n v="52453"/>
    <s v="2025-01-09"/>
  </r>
  <r>
    <n v="47"/>
    <s v="Becej"/>
    <x v="0"/>
    <n v="229387"/>
    <s v="2024-09-29"/>
  </r>
  <r>
    <n v="48"/>
    <s v="Novi Sad"/>
    <x v="1"/>
    <n v="202949"/>
    <s v="2024-08-31"/>
  </r>
  <r>
    <n v="49"/>
    <s v="Nis"/>
    <x v="1"/>
    <n v="99483"/>
    <s v="2024-09-27"/>
  </r>
  <r>
    <n v="50"/>
    <s v="Nis"/>
    <x v="2"/>
    <n v="85521"/>
    <s v="2025-04-20"/>
  </r>
  <r>
    <n v="51"/>
    <s v="Nis"/>
    <x v="1"/>
    <n v="216895"/>
    <s v="2024-06-08"/>
  </r>
  <r>
    <n v="52"/>
    <s v="Becej"/>
    <x v="3"/>
    <n v="144845"/>
    <s v="2025-04-05"/>
  </r>
  <r>
    <n v="53"/>
    <s v="Nis"/>
    <x v="2"/>
    <n v="61720"/>
    <s v="2024-05-06"/>
  </r>
  <r>
    <n v="54"/>
    <s v="Novi Sad"/>
    <x v="0"/>
    <n v="118627"/>
    <s v="2024-01-11"/>
  </r>
  <r>
    <n v="55"/>
    <s v="Nis"/>
    <x v="1"/>
    <n v="184256"/>
    <s v="2024-04-22"/>
  </r>
  <r>
    <n v="56"/>
    <s v="Belgrade"/>
    <x v="0"/>
    <n v="215556"/>
    <s v="2024-11-19"/>
  </r>
  <r>
    <n v="57"/>
    <s v="Belgrade"/>
    <x v="1"/>
    <n v="47668"/>
    <s v="2025-04-08"/>
  </r>
  <r>
    <n v="58"/>
    <s v="Belgrade"/>
    <x v="3"/>
    <n v="48574"/>
    <s v="2024-09-20"/>
  </r>
  <r>
    <n v="59"/>
    <s v="Novi Sad"/>
    <x v="3"/>
    <n v="205368"/>
    <s v="2024-09-05"/>
  </r>
  <r>
    <n v="60"/>
    <s v="Novi Sad"/>
    <x v="1"/>
    <n v="219622"/>
    <s v="2025-04-23"/>
  </r>
  <r>
    <n v="61"/>
    <s v="Nis"/>
    <x v="2"/>
    <n v="93700"/>
    <s v="2025-02-05"/>
  </r>
  <r>
    <n v="62"/>
    <s v="Becej"/>
    <x v="2"/>
    <n v="79914"/>
    <s v="2024-02-18"/>
  </r>
  <r>
    <n v="63"/>
    <s v="Belgrade"/>
    <x v="2"/>
    <n v="122876"/>
    <s v="2024-08-04"/>
  </r>
  <r>
    <n v="64"/>
    <s v="Becej"/>
    <x v="2"/>
    <n v="221122"/>
    <s v="2024-01-28"/>
  </r>
  <r>
    <n v="65"/>
    <s v="Belgrade"/>
    <x v="0"/>
    <n v="135544"/>
    <s v="2025-01-07"/>
  </r>
  <r>
    <n v="66"/>
    <s v="Subotica"/>
    <x v="0"/>
    <n v="95183"/>
    <s v="2024-04-08"/>
  </r>
  <r>
    <n v="67"/>
    <s v="Novi Sad"/>
    <x v="2"/>
    <n v="66747"/>
    <s v="2024-08-04"/>
  </r>
  <r>
    <n v="68"/>
    <s v="Novi Sad"/>
    <x v="3"/>
    <n v="151275"/>
    <s v="2024-05-07"/>
  </r>
  <r>
    <n v="69"/>
    <s v="Belgrade"/>
    <x v="2"/>
    <n v="241818"/>
    <s v="2025-03-17"/>
  </r>
  <r>
    <n v="70"/>
    <s v="Nis"/>
    <x v="0"/>
    <n v="43261"/>
    <s v="2024-11-29"/>
  </r>
  <r>
    <n v="71"/>
    <s v="Nis"/>
    <x v="0"/>
    <n v="54448"/>
    <s v="2025-04-19"/>
  </r>
  <r>
    <n v="72"/>
    <s v="Novi Sad"/>
    <x v="1"/>
    <n v="136539"/>
    <s v="2024-09-05"/>
  </r>
  <r>
    <n v="73"/>
    <s v="Becej"/>
    <x v="1"/>
    <n v="135130"/>
    <s v="2025-04-07"/>
  </r>
  <r>
    <n v="74"/>
    <s v="Belgrade"/>
    <x v="1"/>
    <n v="129345"/>
    <s v="2024-01-02"/>
  </r>
  <r>
    <n v="75"/>
    <s v="Becej"/>
    <x v="3"/>
    <n v="235539"/>
    <s v="2025-02-05"/>
  </r>
  <r>
    <n v="76"/>
    <s v="Becej"/>
    <x v="3"/>
    <n v="140888"/>
    <s v="2024-12-22"/>
  </r>
  <r>
    <n v="77"/>
    <s v="Nis"/>
    <x v="2"/>
    <n v="70579"/>
    <s v="2024-04-07"/>
  </r>
  <r>
    <n v="78"/>
    <s v="Subotica"/>
    <x v="1"/>
    <n v="45331"/>
    <s v="2024-10-23"/>
  </r>
  <r>
    <n v="79"/>
    <s v="Nis"/>
    <x v="0"/>
    <n v="226077"/>
    <s v="2024-06-09"/>
  </r>
  <r>
    <n v="80"/>
    <s v="Belgrade"/>
    <x v="0"/>
    <n v="183138"/>
    <s v="2024-09-01"/>
  </r>
  <r>
    <n v="81"/>
    <s v="Nis"/>
    <x v="1"/>
    <n v="44910"/>
    <s v="2025-05-06"/>
  </r>
  <r>
    <n v="82"/>
    <s v="Nis"/>
    <x v="0"/>
    <n v="78712"/>
    <s v="2024-02-05"/>
  </r>
  <r>
    <n v="83"/>
    <s v="Nis"/>
    <x v="0"/>
    <n v="207002"/>
    <s v="2025-03-17"/>
  </r>
  <r>
    <n v="84"/>
    <s v="Novi Sad"/>
    <x v="2"/>
    <n v="61427"/>
    <s v="2025-04-27"/>
  </r>
  <r>
    <n v="85"/>
    <s v="Nis"/>
    <x v="1"/>
    <n v="181760"/>
    <s v="2024-10-31"/>
  </r>
  <r>
    <n v="86"/>
    <s v="Belgrade"/>
    <x v="0"/>
    <n v="139897"/>
    <s v="2024-12-02"/>
  </r>
  <r>
    <n v="87"/>
    <s v="Nis"/>
    <x v="3"/>
    <n v="98358"/>
    <s v="2024-04-14"/>
  </r>
  <r>
    <n v="88"/>
    <s v="Subotica"/>
    <x v="1"/>
    <n v="99629"/>
    <s v="2024-07-21"/>
  </r>
  <r>
    <n v="89"/>
    <s v="Novi Sad"/>
    <x v="3"/>
    <n v="149858"/>
    <s v="2024-06-10"/>
  </r>
  <r>
    <n v="90"/>
    <s v="Belgrade"/>
    <x v="0"/>
    <n v="150136"/>
    <s v="2024-11-14"/>
  </r>
  <r>
    <n v="91"/>
    <s v="Nis"/>
    <x v="0"/>
    <n v="49204"/>
    <s v="2024-10-02"/>
  </r>
  <r>
    <n v="92"/>
    <s v="Novi Sad"/>
    <x v="3"/>
    <n v="64722"/>
    <s v="2025-04-22"/>
  </r>
  <r>
    <n v="93"/>
    <s v="Subotica"/>
    <x v="0"/>
    <n v="94037"/>
    <s v="2024-07-08"/>
  </r>
  <r>
    <n v="94"/>
    <s v="Subotica"/>
    <x v="1"/>
    <n v="144867"/>
    <s v="2025-03-02"/>
  </r>
  <r>
    <n v="95"/>
    <s v="Nis"/>
    <x v="3"/>
    <n v="190347"/>
    <s v="2025-02-17"/>
  </r>
  <r>
    <n v="96"/>
    <s v="Nis"/>
    <x v="0"/>
    <n v="205076"/>
    <s v="2025-02-22"/>
  </r>
  <r>
    <n v="97"/>
    <s v="Nis"/>
    <x v="3"/>
    <n v="203903"/>
    <s v="2024-02-23"/>
  </r>
  <r>
    <n v="98"/>
    <s v="Novi Sad"/>
    <x v="3"/>
    <n v="60258"/>
    <s v="2025-03-31"/>
  </r>
  <r>
    <n v="99"/>
    <s v="Belgrade"/>
    <x v="1"/>
    <n v="101394"/>
    <s v="2024-05-24"/>
  </r>
  <r>
    <n v="100"/>
    <s v="Nis"/>
    <x v="1"/>
    <n v="218117"/>
    <s v="2024-06-24"/>
  </r>
  <r>
    <n v="101"/>
    <s v="Novi Sad"/>
    <x v="3"/>
    <n v="162489"/>
    <s v="2024-09-07"/>
  </r>
  <r>
    <n v="102"/>
    <s v="Subotica"/>
    <x v="0"/>
    <n v="54195"/>
    <s v="2024-11-20"/>
  </r>
  <r>
    <n v="103"/>
    <s v="Becej"/>
    <x v="3"/>
    <n v="41557"/>
    <s v="2024-01-02"/>
  </r>
  <r>
    <n v="104"/>
    <s v="Subotica"/>
    <x v="1"/>
    <n v="197015"/>
    <s v="2024-05-14"/>
  </r>
  <r>
    <n v="105"/>
    <s v="Novi Sad"/>
    <x v="2"/>
    <n v="174619"/>
    <s v="2024-12-27"/>
  </r>
  <r>
    <n v="106"/>
    <s v="Becej"/>
    <x v="0"/>
    <n v="59327"/>
    <s v="2024-02-08"/>
  </r>
  <r>
    <n v="107"/>
    <s v="Novi Sad"/>
    <x v="0"/>
    <n v="248784"/>
    <s v="2024-07-08"/>
  </r>
  <r>
    <n v="108"/>
    <s v="Nis"/>
    <x v="1"/>
    <n v="142666"/>
    <s v="2024-03-06"/>
  </r>
  <r>
    <n v="109"/>
    <s v="Belgrade"/>
    <x v="3"/>
    <n v="125591"/>
    <s v="2025-04-05"/>
  </r>
  <r>
    <n v="110"/>
    <s v="Belgrade"/>
    <x v="3"/>
    <n v="85070"/>
    <s v="2024-12-15"/>
  </r>
  <r>
    <n v="111"/>
    <s v="Novi Sad"/>
    <x v="0"/>
    <n v="122714"/>
    <s v="2025-02-03"/>
  </r>
  <r>
    <n v="112"/>
    <s v="Nis"/>
    <x v="2"/>
    <n v="192702"/>
    <s v="2025-01-18"/>
  </r>
  <r>
    <n v="113"/>
    <s v="Novi Sad"/>
    <x v="1"/>
    <n v="72598"/>
    <s v="2025-05-14"/>
  </r>
  <r>
    <n v="114"/>
    <s v="Novi Sad"/>
    <x v="2"/>
    <n v="36497"/>
    <s v="2024-04-01"/>
  </r>
  <r>
    <n v="115"/>
    <s v="Subotica"/>
    <x v="2"/>
    <n v="240301"/>
    <s v="2024-12-08"/>
  </r>
  <r>
    <n v="116"/>
    <s v="Novi Sad"/>
    <x v="3"/>
    <n v="71732"/>
    <s v="2025-02-07"/>
  </r>
  <r>
    <n v="117"/>
    <s v="Belgrade"/>
    <x v="2"/>
    <n v="40151"/>
    <s v="2025-03-15"/>
  </r>
  <r>
    <n v="118"/>
    <s v="Becej"/>
    <x v="1"/>
    <n v="82316"/>
    <s v="2025-02-22"/>
  </r>
  <r>
    <n v="119"/>
    <s v="Becej"/>
    <x v="3"/>
    <n v="110003"/>
    <s v="2025-02-24"/>
  </r>
  <r>
    <n v="120"/>
    <s v="Novi Sad"/>
    <x v="1"/>
    <n v="36203"/>
    <s v="2024-12-03"/>
  </r>
  <r>
    <n v="121"/>
    <s v="Novi Sad"/>
    <x v="2"/>
    <n v="116051"/>
    <s v="2024-05-22"/>
  </r>
  <r>
    <n v="122"/>
    <s v="Belgrade"/>
    <x v="3"/>
    <n v="122050"/>
    <s v="2024-11-24"/>
  </r>
  <r>
    <n v="123"/>
    <s v="Nis"/>
    <x v="2"/>
    <n v="208131"/>
    <s v="2025-03-07"/>
  </r>
  <r>
    <n v="124"/>
    <s v="Nis"/>
    <x v="3"/>
    <n v="37235"/>
    <s v="2024-02-29"/>
  </r>
  <r>
    <n v="125"/>
    <s v="Subotica"/>
    <x v="1"/>
    <n v="182198"/>
    <s v="2025-05-07"/>
  </r>
  <r>
    <n v="126"/>
    <s v="Subotica"/>
    <x v="0"/>
    <n v="58417"/>
    <s v="2024-11-01"/>
  </r>
  <r>
    <n v="127"/>
    <s v="Becej"/>
    <x v="3"/>
    <n v="220983"/>
    <s v="2025-02-06"/>
  </r>
  <r>
    <n v="128"/>
    <s v="Subotica"/>
    <x v="2"/>
    <n v="188914"/>
    <s v="2024-09-18"/>
  </r>
  <r>
    <n v="129"/>
    <s v="Belgrade"/>
    <x v="2"/>
    <n v="181149"/>
    <s v="2024-04-07"/>
  </r>
  <r>
    <n v="130"/>
    <s v="Subotica"/>
    <x v="0"/>
    <n v="215803"/>
    <s v="2024-08-11"/>
  </r>
  <r>
    <n v="131"/>
    <s v="Belgrade"/>
    <x v="1"/>
    <n v="125478"/>
    <s v="2024-08-08"/>
  </r>
  <r>
    <n v="132"/>
    <s v="Belgrade"/>
    <x v="3"/>
    <n v="193356"/>
    <s v="2024-06-09"/>
  </r>
  <r>
    <n v="133"/>
    <s v="Belgrade"/>
    <x v="3"/>
    <n v="162939"/>
    <s v="2024-06-07"/>
  </r>
  <r>
    <n v="134"/>
    <s v="Becej"/>
    <x v="3"/>
    <n v="135486"/>
    <s v="2024-12-22"/>
  </r>
  <r>
    <n v="135"/>
    <s v="Subotica"/>
    <x v="1"/>
    <n v="80289"/>
    <s v="2024-08-03"/>
  </r>
  <r>
    <n v="136"/>
    <s v="Becej"/>
    <x v="1"/>
    <n v="191353"/>
    <s v="2024-10-18"/>
  </r>
  <r>
    <n v="137"/>
    <s v="Subotica"/>
    <x v="2"/>
    <n v="173638"/>
    <s v="2025-03-02"/>
  </r>
  <r>
    <n v="138"/>
    <s v="Belgrade"/>
    <x v="3"/>
    <n v="105212"/>
    <s v="2024-04-17"/>
  </r>
  <r>
    <n v="139"/>
    <s v="Becej"/>
    <x v="3"/>
    <n v="151893"/>
    <s v="2024-08-14"/>
  </r>
  <r>
    <n v="140"/>
    <s v="Becej"/>
    <x v="1"/>
    <n v="164001"/>
    <s v="2024-08-30"/>
  </r>
  <r>
    <n v="141"/>
    <s v="Novi Sad"/>
    <x v="0"/>
    <n v="104392"/>
    <s v="2024-09-20"/>
  </r>
  <r>
    <n v="142"/>
    <s v="Nis"/>
    <x v="3"/>
    <n v="54480"/>
    <s v="2025-02-23"/>
  </r>
  <r>
    <n v="143"/>
    <s v="Novi Sad"/>
    <x v="3"/>
    <n v="88888"/>
    <s v="2025-02-16"/>
  </r>
  <r>
    <n v="144"/>
    <s v="Novi Sad"/>
    <x v="1"/>
    <n v="36402"/>
    <s v="2024-01-24"/>
  </r>
  <r>
    <n v="145"/>
    <s v="Novi Sad"/>
    <x v="2"/>
    <n v="190241"/>
    <s v="2025-03-11"/>
  </r>
  <r>
    <n v="146"/>
    <s v="Belgrade"/>
    <x v="2"/>
    <n v="138643"/>
    <s v="2025-03-29"/>
  </r>
  <r>
    <n v="147"/>
    <s v="Nis"/>
    <x v="1"/>
    <n v="218310"/>
    <s v="2024-12-22"/>
  </r>
  <r>
    <n v="148"/>
    <s v="Becej"/>
    <x v="2"/>
    <n v="134766"/>
    <s v="2024-05-04"/>
  </r>
  <r>
    <n v="149"/>
    <s v="Novi Sad"/>
    <x v="0"/>
    <n v="226860"/>
    <s v="2025-03-16"/>
  </r>
  <r>
    <n v="150"/>
    <s v="Belgrade"/>
    <x v="2"/>
    <n v="87367"/>
    <s v="2024-03-31"/>
  </r>
  <r>
    <n v="151"/>
    <s v="Nis"/>
    <x v="2"/>
    <n v="43164"/>
    <s v="2024-10-12"/>
  </r>
  <r>
    <n v="152"/>
    <s v="Novi Sad"/>
    <x v="0"/>
    <n v="149658"/>
    <s v="2024-03-09"/>
  </r>
  <r>
    <n v="153"/>
    <s v="Becej"/>
    <x v="3"/>
    <n v="227984"/>
    <s v="2025-04-01"/>
  </r>
  <r>
    <n v="154"/>
    <s v="Becej"/>
    <x v="2"/>
    <n v="247728"/>
    <s v="2025-04-09"/>
  </r>
  <r>
    <n v="155"/>
    <s v="Nis"/>
    <x v="2"/>
    <n v="71722"/>
    <s v="2025-01-15"/>
  </r>
  <r>
    <n v="156"/>
    <s v="Becej"/>
    <x v="2"/>
    <n v="97945"/>
    <s v="2025-01-19"/>
  </r>
  <r>
    <n v="157"/>
    <s v="Novi Sad"/>
    <x v="3"/>
    <n v="230753"/>
    <s v="2025-02-02"/>
  </r>
  <r>
    <n v="158"/>
    <s v="Nis"/>
    <x v="2"/>
    <n v="194298"/>
    <s v="2024-05-02"/>
  </r>
  <r>
    <n v="159"/>
    <s v="Subotica"/>
    <x v="2"/>
    <n v="50311"/>
    <s v="2024-12-31"/>
  </r>
  <r>
    <n v="160"/>
    <s v="Subotica"/>
    <x v="1"/>
    <n v="101228"/>
    <s v="2024-06-20"/>
  </r>
  <r>
    <n v="161"/>
    <s v="Subotica"/>
    <x v="0"/>
    <n v="66273"/>
    <s v="2024-03-18"/>
  </r>
  <r>
    <n v="162"/>
    <s v="Novi Sad"/>
    <x v="2"/>
    <n v="211914"/>
    <s v="2024-03-19"/>
  </r>
  <r>
    <n v="163"/>
    <s v="Novi Sad"/>
    <x v="0"/>
    <n v="138755"/>
    <s v="2024-07-27"/>
  </r>
  <r>
    <n v="164"/>
    <s v="Subotica"/>
    <x v="2"/>
    <n v="138992"/>
    <s v="2024-02-01"/>
  </r>
  <r>
    <n v="165"/>
    <s v="Novi Sad"/>
    <x v="2"/>
    <n v="132099"/>
    <s v="2025-04-08"/>
  </r>
  <r>
    <n v="166"/>
    <s v="Nis"/>
    <x v="0"/>
    <n v="230696"/>
    <s v="2024-10-21"/>
  </r>
  <r>
    <n v="167"/>
    <s v="Becej"/>
    <x v="2"/>
    <n v="31545"/>
    <s v="2025-04-27"/>
  </r>
  <r>
    <n v="168"/>
    <s v="Subotica"/>
    <x v="3"/>
    <n v="227518"/>
    <s v="2024-07-18"/>
  </r>
  <r>
    <n v="169"/>
    <s v="Becej"/>
    <x v="1"/>
    <n v="157986"/>
    <s v="2024-04-22"/>
  </r>
  <r>
    <n v="170"/>
    <s v="Subotica"/>
    <x v="2"/>
    <n v="157308"/>
    <s v="2024-01-15"/>
  </r>
  <r>
    <n v="171"/>
    <s v="Becej"/>
    <x v="3"/>
    <n v="205341"/>
    <s v="2024-12-13"/>
  </r>
  <r>
    <n v="172"/>
    <s v="Becej"/>
    <x v="1"/>
    <n v="152523"/>
    <s v="2025-04-15"/>
  </r>
  <r>
    <n v="173"/>
    <s v="Novi Sad"/>
    <x v="0"/>
    <n v="133290"/>
    <s v="2024-10-30"/>
  </r>
  <r>
    <n v="174"/>
    <s v="Nis"/>
    <x v="0"/>
    <n v="52006"/>
    <s v="2024-11-25"/>
  </r>
  <r>
    <n v="175"/>
    <s v="Becej"/>
    <x v="1"/>
    <n v="151031"/>
    <s v="2024-04-03"/>
  </r>
  <r>
    <n v="176"/>
    <s v="Belgrade"/>
    <x v="3"/>
    <n v="129379"/>
    <s v="2024-06-16"/>
  </r>
  <r>
    <n v="177"/>
    <s v="Novi Sad"/>
    <x v="2"/>
    <n v="115680"/>
    <s v="2024-06-21"/>
  </r>
  <r>
    <n v="178"/>
    <s v="Becej"/>
    <x v="3"/>
    <n v="227134"/>
    <s v="2025-05-02"/>
  </r>
  <r>
    <n v="179"/>
    <s v="Becej"/>
    <x v="3"/>
    <n v="248866"/>
    <s v="2024-02-11"/>
  </r>
  <r>
    <n v="180"/>
    <s v="Becej"/>
    <x v="0"/>
    <n v="226352"/>
    <s v="2024-10-03"/>
  </r>
  <r>
    <n v="181"/>
    <s v="Belgrade"/>
    <x v="3"/>
    <n v="88778"/>
    <s v="2024-11-28"/>
  </r>
  <r>
    <n v="182"/>
    <s v="Belgrade"/>
    <x v="0"/>
    <n v="227717"/>
    <s v="2024-01-16"/>
  </r>
  <r>
    <n v="183"/>
    <s v="Novi Sad"/>
    <x v="1"/>
    <n v="249998"/>
    <s v="2024-01-11"/>
  </r>
  <r>
    <n v="184"/>
    <s v="Nis"/>
    <x v="1"/>
    <n v="92533"/>
    <s v="2024-03-05"/>
  </r>
  <r>
    <n v="185"/>
    <s v="Becej"/>
    <x v="0"/>
    <n v="177841"/>
    <s v="2025-04-30"/>
  </r>
  <r>
    <n v="186"/>
    <s v="Novi Sad"/>
    <x v="2"/>
    <n v="213360"/>
    <s v="2024-05-11"/>
  </r>
  <r>
    <n v="187"/>
    <s v="Subotica"/>
    <x v="1"/>
    <n v="188831"/>
    <s v="2024-11-06"/>
  </r>
  <r>
    <n v="188"/>
    <s v="Belgrade"/>
    <x v="1"/>
    <n v="111536"/>
    <s v="2024-02-25"/>
  </r>
  <r>
    <n v="189"/>
    <s v="Nis"/>
    <x v="0"/>
    <n v="111777"/>
    <s v="2024-10-21"/>
  </r>
  <r>
    <n v="190"/>
    <s v="Becej"/>
    <x v="2"/>
    <n v="217436"/>
    <s v="2024-04-11"/>
  </r>
  <r>
    <n v="191"/>
    <s v="Belgrade"/>
    <x v="1"/>
    <n v="56712"/>
    <s v="2024-12-22"/>
  </r>
  <r>
    <n v="192"/>
    <s v="Subotica"/>
    <x v="0"/>
    <n v="238726"/>
    <s v="2024-10-16"/>
  </r>
  <r>
    <n v="193"/>
    <s v="Belgrade"/>
    <x v="3"/>
    <n v="169655"/>
    <s v="2024-08-07"/>
  </r>
  <r>
    <n v="194"/>
    <s v="Subotica"/>
    <x v="0"/>
    <n v="162634"/>
    <s v="2024-11-27"/>
  </r>
  <r>
    <n v="195"/>
    <s v="Subotica"/>
    <x v="0"/>
    <n v="140115"/>
    <s v="2025-02-25"/>
  </r>
  <r>
    <n v="196"/>
    <s v="Becej"/>
    <x v="0"/>
    <n v="143645"/>
    <s v="2025-05-06"/>
  </r>
  <r>
    <n v="197"/>
    <s v="Subotica"/>
    <x v="2"/>
    <n v="215416"/>
    <s v="2024-03-19"/>
  </r>
  <r>
    <n v="198"/>
    <s v="Becej"/>
    <x v="1"/>
    <n v="222360"/>
    <s v="2024-09-24"/>
  </r>
  <r>
    <n v="199"/>
    <s v="Subotica"/>
    <x v="2"/>
    <n v="151863"/>
    <s v="2024-08-11"/>
  </r>
  <r>
    <n v="200"/>
    <s v="Nis"/>
    <x v="3"/>
    <n v="114490"/>
    <s v="2025-03-12"/>
  </r>
  <r>
    <n v="201"/>
    <s v="Novi Sad"/>
    <x v="0"/>
    <n v="103119"/>
    <s v="2025-03-27"/>
  </r>
  <r>
    <n v="202"/>
    <s v="Becej"/>
    <x v="1"/>
    <n v="226732"/>
    <s v="2024-08-25"/>
  </r>
  <r>
    <n v="203"/>
    <s v="Nis"/>
    <x v="2"/>
    <n v="118184"/>
    <s v="2024-01-15"/>
  </r>
  <r>
    <n v="204"/>
    <s v="Becej"/>
    <x v="3"/>
    <n v="77668"/>
    <s v="2024-09-06"/>
  </r>
  <r>
    <n v="205"/>
    <s v="Novi Sad"/>
    <x v="3"/>
    <n v="239146"/>
    <s v="2024-05-12"/>
  </r>
  <r>
    <n v="206"/>
    <s v="Subotica"/>
    <x v="3"/>
    <n v="186278"/>
    <s v="2024-12-25"/>
  </r>
  <r>
    <n v="207"/>
    <s v="Subotica"/>
    <x v="0"/>
    <n v="165430"/>
    <s v="2025-04-30"/>
  </r>
  <r>
    <n v="208"/>
    <s v="Novi Sad"/>
    <x v="0"/>
    <n v="93270"/>
    <s v="2025-01-03"/>
  </r>
  <r>
    <n v="209"/>
    <s v="Becej"/>
    <x v="2"/>
    <n v="175536"/>
    <s v="2025-01-23"/>
  </r>
  <r>
    <n v="210"/>
    <s v="Novi Sad"/>
    <x v="2"/>
    <n v="199319"/>
    <s v="2024-12-30"/>
  </r>
  <r>
    <n v="211"/>
    <s v="Becej"/>
    <x v="2"/>
    <n v="237862"/>
    <s v="2024-01-09"/>
  </r>
  <r>
    <n v="212"/>
    <s v="Belgrade"/>
    <x v="3"/>
    <n v="88090"/>
    <s v="2024-07-26"/>
  </r>
  <r>
    <n v="213"/>
    <s v="Novi Sad"/>
    <x v="3"/>
    <n v="204053"/>
    <s v="2024-10-24"/>
  </r>
  <r>
    <n v="214"/>
    <s v="Subotica"/>
    <x v="2"/>
    <n v="175089"/>
    <s v="2024-09-28"/>
  </r>
  <r>
    <n v="215"/>
    <s v="Subotica"/>
    <x v="2"/>
    <n v="225542"/>
    <s v="2024-10-08"/>
  </r>
  <r>
    <n v="216"/>
    <s v="Subotica"/>
    <x v="3"/>
    <n v="214249"/>
    <s v="2024-08-20"/>
  </r>
  <r>
    <n v="217"/>
    <s v="Subotica"/>
    <x v="3"/>
    <n v="95903"/>
    <s v="2024-04-28"/>
  </r>
  <r>
    <n v="218"/>
    <s v="Belgrade"/>
    <x v="1"/>
    <n v="112719"/>
    <s v="2024-03-02"/>
  </r>
  <r>
    <n v="219"/>
    <s v="Nis"/>
    <x v="1"/>
    <n v="80211"/>
    <s v="2024-04-20"/>
  </r>
  <r>
    <n v="220"/>
    <s v="Becej"/>
    <x v="3"/>
    <n v="219945"/>
    <s v="2024-10-28"/>
  </r>
  <r>
    <n v="221"/>
    <s v="Nis"/>
    <x v="3"/>
    <n v="56352"/>
    <s v="2025-03-02"/>
  </r>
  <r>
    <n v="222"/>
    <s v="Novi Sad"/>
    <x v="3"/>
    <n v="89633"/>
    <s v="2024-07-03"/>
  </r>
  <r>
    <n v="223"/>
    <s v="Novi Sad"/>
    <x v="3"/>
    <n v="33708"/>
    <s v="2024-12-28"/>
  </r>
  <r>
    <n v="224"/>
    <s v="Nis"/>
    <x v="1"/>
    <n v="101909"/>
    <s v="2024-01-24"/>
  </r>
  <r>
    <n v="225"/>
    <s v="Belgrade"/>
    <x v="3"/>
    <n v="212823"/>
    <s v="2025-04-28"/>
  </r>
  <r>
    <n v="226"/>
    <s v="Novi Sad"/>
    <x v="2"/>
    <n v="56892"/>
    <s v="2025-03-22"/>
  </r>
  <r>
    <n v="227"/>
    <s v="Belgrade"/>
    <x v="3"/>
    <n v="153049"/>
    <s v="2024-09-02"/>
  </r>
  <r>
    <n v="228"/>
    <s v="Becej"/>
    <x v="3"/>
    <n v="78329"/>
    <s v="2025-05-09"/>
  </r>
  <r>
    <n v="229"/>
    <s v="Belgrade"/>
    <x v="3"/>
    <n v="155233"/>
    <s v="2024-02-28"/>
  </r>
  <r>
    <n v="230"/>
    <s v="Belgrade"/>
    <x v="2"/>
    <n v="158908"/>
    <s v="2024-02-07"/>
  </r>
  <r>
    <n v="231"/>
    <s v="Nis"/>
    <x v="0"/>
    <n v="69774"/>
    <s v="2024-03-17"/>
  </r>
  <r>
    <n v="232"/>
    <s v="Nis"/>
    <x v="3"/>
    <n v="52329"/>
    <s v="2024-05-07"/>
  </r>
  <r>
    <n v="233"/>
    <s v="Belgrade"/>
    <x v="2"/>
    <n v="188942"/>
    <s v="2024-11-01"/>
  </r>
  <r>
    <n v="234"/>
    <s v="Nis"/>
    <x v="1"/>
    <n v="233343"/>
    <s v="2024-09-24"/>
  </r>
  <r>
    <n v="235"/>
    <s v="Becej"/>
    <x v="2"/>
    <n v="146056"/>
    <s v="2024-06-01"/>
  </r>
  <r>
    <n v="236"/>
    <s v="Nis"/>
    <x v="2"/>
    <n v="110053"/>
    <s v="2024-10-18"/>
  </r>
  <r>
    <n v="237"/>
    <s v="Nis"/>
    <x v="0"/>
    <n v="189811"/>
    <s v="2025-05-06"/>
  </r>
  <r>
    <n v="238"/>
    <s v="Belgrade"/>
    <x v="1"/>
    <n v="193975"/>
    <s v="2024-04-18"/>
  </r>
  <r>
    <n v="239"/>
    <s v="Subotica"/>
    <x v="0"/>
    <n v="71171"/>
    <s v="2024-05-02"/>
  </r>
  <r>
    <n v="240"/>
    <s v="Novi Sad"/>
    <x v="0"/>
    <n v="71034"/>
    <s v="2024-01-02"/>
  </r>
  <r>
    <n v="241"/>
    <s v="Becej"/>
    <x v="2"/>
    <n v="210714"/>
    <s v="2024-10-31"/>
  </r>
  <r>
    <n v="242"/>
    <s v="Becej"/>
    <x v="3"/>
    <n v="38556"/>
    <s v="2024-04-28"/>
  </r>
  <r>
    <n v="243"/>
    <s v="Subotica"/>
    <x v="3"/>
    <n v="214283"/>
    <s v="2025-03-16"/>
  </r>
  <r>
    <n v="244"/>
    <s v="Becej"/>
    <x v="0"/>
    <n v="210193"/>
    <s v="2024-04-29"/>
  </r>
  <r>
    <n v="245"/>
    <s v="Subotica"/>
    <x v="1"/>
    <n v="141447"/>
    <s v="2024-02-28"/>
  </r>
  <r>
    <n v="246"/>
    <s v="Nis"/>
    <x v="1"/>
    <n v="199773"/>
    <s v="2024-03-17"/>
  </r>
  <r>
    <n v="247"/>
    <s v="Subotica"/>
    <x v="1"/>
    <n v="48719"/>
    <s v="2024-01-31"/>
  </r>
  <r>
    <n v="248"/>
    <s v="Novi Sad"/>
    <x v="3"/>
    <n v="185987"/>
    <s v="2025-01-18"/>
  </r>
  <r>
    <n v="249"/>
    <s v="Nis"/>
    <x v="3"/>
    <n v="145121"/>
    <s v="2024-03-04"/>
  </r>
  <r>
    <n v="250"/>
    <s v="Becej"/>
    <x v="3"/>
    <n v="213430"/>
    <s v="2024-07-25"/>
  </r>
  <r>
    <n v="251"/>
    <s v="Subotica"/>
    <x v="2"/>
    <n v="144755"/>
    <s v="2024-02-11"/>
  </r>
  <r>
    <n v="252"/>
    <s v="Nis"/>
    <x v="0"/>
    <n v="143253"/>
    <s v="2025-01-11"/>
  </r>
  <r>
    <n v="253"/>
    <s v="Subotica"/>
    <x v="3"/>
    <n v="36780"/>
    <s v="2024-02-16"/>
  </r>
  <r>
    <n v="254"/>
    <s v="Novi Sad"/>
    <x v="0"/>
    <n v="230477"/>
    <s v="2024-12-10"/>
  </r>
  <r>
    <n v="255"/>
    <s v="Subotica"/>
    <x v="0"/>
    <n v="230044"/>
    <s v="2025-01-22"/>
  </r>
  <r>
    <n v="256"/>
    <s v="Novi Sad"/>
    <x v="2"/>
    <n v="166043"/>
    <s v="2024-11-29"/>
  </r>
  <r>
    <n v="257"/>
    <s v="Becej"/>
    <x v="3"/>
    <n v="77576"/>
    <s v="2024-10-26"/>
  </r>
  <r>
    <n v="258"/>
    <s v="Becej"/>
    <x v="2"/>
    <n v="53918"/>
    <s v="2024-08-28"/>
  </r>
  <r>
    <n v="259"/>
    <s v="Subotica"/>
    <x v="2"/>
    <n v="117374"/>
    <s v="2024-06-13"/>
  </r>
  <r>
    <n v="260"/>
    <s v="Belgrade"/>
    <x v="1"/>
    <n v="116456"/>
    <s v="2024-07-29"/>
  </r>
  <r>
    <n v="261"/>
    <s v="Becej"/>
    <x v="3"/>
    <n v="203692"/>
    <s v="2025-04-28"/>
  </r>
  <r>
    <n v="262"/>
    <s v="Becej"/>
    <x v="0"/>
    <n v="149229"/>
    <s v="2024-02-15"/>
  </r>
  <r>
    <n v="263"/>
    <s v="Subotica"/>
    <x v="3"/>
    <n v="114744"/>
    <s v="2024-02-29"/>
  </r>
  <r>
    <n v="264"/>
    <s v="Becej"/>
    <x v="0"/>
    <n v="202401"/>
    <s v="2025-03-21"/>
  </r>
  <r>
    <n v="265"/>
    <s v="Nis"/>
    <x v="2"/>
    <n v="138330"/>
    <s v="2024-01-28"/>
  </r>
  <r>
    <n v="266"/>
    <s v="Novi Sad"/>
    <x v="3"/>
    <n v="193219"/>
    <s v="2025-01-22"/>
  </r>
  <r>
    <n v="267"/>
    <s v="Becej"/>
    <x v="2"/>
    <n v="229226"/>
    <s v="2024-01-27"/>
  </r>
  <r>
    <n v="268"/>
    <s v="Novi Sad"/>
    <x v="3"/>
    <n v="173974"/>
    <s v="2024-03-08"/>
  </r>
  <r>
    <n v="269"/>
    <s v="Subotica"/>
    <x v="2"/>
    <n v="213042"/>
    <s v="2024-09-05"/>
  </r>
  <r>
    <n v="270"/>
    <s v="Belgrade"/>
    <x v="0"/>
    <n v="195156"/>
    <s v="2024-11-07"/>
  </r>
  <r>
    <n v="271"/>
    <s v="Novi Sad"/>
    <x v="1"/>
    <n v="111461"/>
    <s v="2024-10-09"/>
  </r>
  <r>
    <n v="272"/>
    <s v="Belgrade"/>
    <x v="2"/>
    <n v="54434"/>
    <s v="2024-04-25"/>
  </r>
  <r>
    <n v="273"/>
    <s v="Belgrade"/>
    <x v="2"/>
    <n v="60793"/>
    <s v="2024-11-27"/>
  </r>
  <r>
    <n v="274"/>
    <s v="Novi Sad"/>
    <x v="2"/>
    <n v="217853"/>
    <s v="2024-05-29"/>
  </r>
  <r>
    <n v="275"/>
    <s v="Nis"/>
    <x v="3"/>
    <n v="138918"/>
    <s v="2025-03-03"/>
  </r>
  <r>
    <n v="276"/>
    <s v="Becej"/>
    <x v="2"/>
    <n v="93892"/>
    <s v="2024-08-21"/>
  </r>
  <r>
    <n v="277"/>
    <s v="Nis"/>
    <x v="1"/>
    <n v="130554"/>
    <s v="2024-04-07"/>
  </r>
  <r>
    <n v="278"/>
    <s v="Nis"/>
    <x v="1"/>
    <n v="48300"/>
    <s v="2024-05-21"/>
  </r>
  <r>
    <n v="279"/>
    <s v="Becej"/>
    <x v="3"/>
    <n v="236495"/>
    <s v="2024-09-16"/>
  </r>
  <r>
    <n v="280"/>
    <s v="Subotica"/>
    <x v="0"/>
    <n v="104144"/>
    <s v="2025-01-06"/>
  </r>
  <r>
    <n v="281"/>
    <s v="Subotica"/>
    <x v="2"/>
    <n v="68953"/>
    <s v="2024-08-16"/>
  </r>
  <r>
    <n v="282"/>
    <s v="Nis"/>
    <x v="2"/>
    <n v="120472"/>
    <s v="2024-06-19"/>
  </r>
  <r>
    <n v="283"/>
    <s v="Nis"/>
    <x v="2"/>
    <n v="149365"/>
    <s v="2025-04-22"/>
  </r>
  <r>
    <n v="284"/>
    <s v="Subotica"/>
    <x v="1"/>
    <n v="212845"/>
    <s v="2024-05-02"/>
  </r>
  <r>
    <n v="285"/>
    <s v="Nis"/>
    <x v="2"/>
    <n v="91226"/>
    <s v="2025-03-14"/>
  </r>
  <r>
    <n v="286"/>
    <s v="Becej"/>
    <x v="0"/>
    <n v="113408"/>
    <s v="2025-01-16"/>
  </r>
  <r>
    <n v="287"/>
    <s v="Becej"/>
    <x v="2"/>
    <n v="131208"/>
    <s v="2024-12-05"/>
  </r>
  <r>
    <n v="288"/>
    <s v="Novi Sad"/>
    <x v="2"/>
    <n v="39704"/>
    <s v="2024-03-05"/>
  </r>
  <r>
    <n v="289"/>
    <s v="Nis"/>
    <x v="3"/>
    <n v="56309"/>
    <s v="2025-03-23"/>
  </r>
  <r>
    <n v="290"/>
    <s v="Becej"/>
    <x v="0"/>
    <n v="167874"/>
    <s v="2025-04-11"/>
  </r>
  <r>
    <n v="291"/>
    <s v="Becej"/>
    <x v="0"/>
    <n v="219384"/>
    <s v="2024-03-14"/>
  </r>
  <r>
    <n v="292"/>
    <s v="Becej"/>
    <x v="1"/>
    <n v="49615"/>
    <s v="2024-08-28"/>
  </r>
  <r>
    <n v="293"/>
    <s v="Subotica"/>
    <x v="3"/>
    <n v="193383"/>
    <s v="2024-12-20"/>
  </r>
  <r>
    <n v="294"/>
    <s v="Becej"/>
    <x v="0"/>
    <n v="116131"/>
    <s v="2025-03-12"/>
  </r>
  <r>
    <n v="295"/>
    <s v="Nis"/>
    <x v="2"/>
    <n v="113010"/>
    <s v="2024-11-16"/>
  </r>
  <r>
    <n v="296"/>
    <s v="Becej"/>
    <x v="0"/>
    <n v="191863"/>
    <s v="2024-02-05"/>
  </r>
  <r>
    <n v="297"/>
    <s v="Novi Sad"/>
    <x v="3"/>
    <n v="89634"/>
    <s v="2025-01-17"/>
  </r>
  <r>
    <n v="298"/>
    <s v="Belgrade"/>
    <x v="2"/>
    <n v="55806"/>
    <s v="2025-01-24"/>
  </r>
  <r>
    <n v="299"/>
    <s v="Belgrade"/>
    <x v="2"/>
    <n v="73611"/>
    <s v="2024-12-21"/>
  </r>
  <r>
    <n v="300"/>
    <s v="Subotica"/>
    <x v="0"/>
    <n v="42056"/>
    <s v="2024-06-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16CB50-3E50-4219-AF00-CDB131419D3C}"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18:J19" firstHeaderRow="1" firstDataRow="1" firstDataCol="0"/>
  <pivotFields count="14">
    <pivotField showAll="0"/>
    <pivotField showAll="0"/>
    <pivotField showAll="0"/>
    <pivotField dataField="1" numFmtId="164" showAll="0"/>
    <pivotField showAll="0">
      <items count="4">
        <item x="0"/>
        <item x="2"/>
        <item x="1"/>
        <item t="default"/>
      </items>
    </pivotField>
    <pivotField showAll="0"/>
    <pivotField showAll="0" sortType="descending">
      <items count="6">
        <item x="3"/>
        <item x="2"/>
        <item x="0"/>
        <item x="1"/>
        <item x="4"/>
        <item t="default"/>
      </items>
      <autoSortScope>
        <pivotArea dataOnly="0" outline="0" fieldPosition="0">
          <references count="1">
            <reference field="4294967294" count="1" selected="0">
              <x v="0"/>
            </reference>
          </references>
        </pivotArea>
      </autoSortScope>
    </pivotField>
    <pivotField showAll="0">
      <items count="6">
        <item x="4"/>
        <item x="1"/>
        <item x="2"/>
        <item x="3"/>
        <item x="0"/>
        <item t="default"/>
      </items>
    </pivotField>
    <pivotField showAll="0"/>
    <pivotField showAll="0"/>
    <pivotField showAll="0"/>
    <pivotField showAll="0"/>
    <pivotField showAll="0"/>
    <pivotField numFmtId="164" showAll="0"/>
  </pivotFields>
  <rowItems count="1">
    <i/>
  </rowItems>
  <colItems count="1">
    <i/>
  </colItems>
  <dataFields count="1">
    <dataField name="Average of SalePrice" fld="3" subtotal="average" baseField="0" baseItem="0" numFmtId="164"/>
  </dataFields>
  <formats count="2">
    <format dxfId="462">
      <pivotArea outline="0" collapsedLevelsAreSubtotals="1" fieldPosition="0"/>
    </format>
    <format dxfId="461">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EC8F67-450D-47A8-BF52-A56D5447ECB5}"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12:J13" firstHeaderRow="1" firstDataRow="1" firstDataCol="0"/>
  <pivotFields count="14">
    <pivotField showAll="0"/>
    <pivotField showAll="0"/>
    <pivotField showAll="0"/>
    <pivotField dataField="1" numFmtId="164" showAll="0"/>
    <pivotField showAll="0">
      <items count="4">
        <item x="0"/>
        <item x="2"/>
        <item x="1"/>
        <item t="default"/>
      </items>
    </pivotField>
    <pivotField showAll="0"/>
    <pivotField showAll="0" sortType="descending">
      <items count="6">
        <item x="3"/>
        <item x="2"/>
        <item x="0"/>
        <item x="1"/>
        <item x="4"/>
        <item t="default"/>
      </items>
      <autoSortScope>
        <pivotArea dataOnly="0" outline="0" fieldPosition="0">
          <references count="1">
            <reference field="4294967294" count="1" selected="0">
              <x v="0"/>
            </reference>
          </references>
        </pivotArea>
      </autoSortScope>
    </pivotField>
    <pivotField showAll="0">
      <items count="6">
        <item x="4"/>
        <item x="1"/>
        <item x="2"/>
        <item x="3"/>
        <item x="0"/>
        <item t="default"/>
      </items>
    </pivotField>
    <pivotField showAll="0"/>
    <pivotField showAll="0"/>
    <pivotField showAll="0"/>
    <pivotField showAll="0"/>
    <pivotField showAll="0"/>
    <pivotField numFmtId="164" showAll="0"/>
  </pivotFields>
  <rowItems count="1">
    <i/>
  </rowItems>
  <colItems count="1">
    <i/>
  </colItems>
  <dataFields count="1">
    <dataField name="Sum of SalePrice" fld="3" baseField="0" baseItem="0" numFmtId="164"/>
  </dataFields>
  <formats count="2">
    <format dxfId="464">
      <pivotArea outline="0" collapsedLevelsAreSubtotals="1" fieldPosition="0"/>
    </format>
    <format dxfId="463">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74C6A3-1816-4285-BD5C-0F2D9C486638}" name="PivotTable1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2:N18" firstHeaderRow="1" firstDataRow="1" firstDataCol="1" rowPageCount="1" colPageCount="1"/>
  <pivotFields count="14">
    <pivotField showAll="0"/>
    <pivotField showAll="0"/>
    <pivotField showAll="0"/>
    <pivotField dataField="1" numFmtId="164" showAll="0"/>
    <pivotField axis="axisPage" showAll="0">
      <items count="4">
        <item x="0"/>
        <item x="2"/>
        <item x="1"/>
        <item t="default"/>
      </items>
    </pivotField>
    <pivotField showAll="0"/>
    <pivotField showAll="0"/>
    <pivotField axis="axisRow" showAll="0" sortType="descending">
      <items count="6">
        <item x="4"/>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64" showAll="0"/>
  </pivotFields>
  <rowFields count="1">
    <field x="7"/>
  </rowFields>
  <rowItems count="6">
    <i>
      <x v="3"/>
    </i>
    <i>
      <x v="4"/>
    </i>
    <i>
      <x v="2"/>
    </i>
    <i>
      <x v="1"/>
    </i>
    <i>
      <x/>
    </i>
    <i t="grand">
      <x/>
    </i>
  </rowItems>
  <colItems count="1">
    <i/>
  </colItems>
  <pageFields count="1">
    <pageField fld="4" item="2" hier="-1"/>
  </pageFields>
  <dataFields count="1">
    <dataField name="Average of SalePrice" fld="3" subtotal="average" baseField="7" baseItem="4" numFmtId="164"/>
  </dataFields>
  <formats count="2">
    <format dxfId="466">
      <pivotArea outline="0" collapsedLevelsAreSubtotals="1" fieldPosition="0"/>
    </format>
    <format dxfId="465">
      <pivotArea dataOnly="0" labelOnly="1" outline="0" axis="axisValues" fieldPosition="0"/>
    </format>
  </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9FDC02-8EA6-495F-B45B-800C82E4A68D}"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3:O8" firstHeaderRow="0" firstDataRow="1" firstDataCol="1"/>
  <pivotFields count="5">
    <pivotField dataField="1" showAll="0"/>
    <pivotField showAll="0"/>
    <pivotField axis="axisRow" showAll="0">
      <items count="5">
        <item x="0"/>
        <item x="1"/>
        <item x="2"/>
        <item x="3"/>
        <item t="default"/>
      </items>
    </pivotField>
    <pivotField numFmtId="164" showAll="0"/>
    <pivotField showAll="0"/>
  </pivotFields>
  <rowFields count="1">
    <field x="2"/>
  </rowFields>
  <rowItems count="5">
    <i>
      <x/>
    </i>
    <i>
      <x v="1"/>
    </i>
    <i>
      <x v="2"/>
    </i>
    <i>
      <x v="3"/>
    </i>
    <i t="grand">
      <x/>
    </i>
  </rowItems>
  <colFields count="1">
    <field x="-2"/>
  </colFields>
  <colItems count="2">
    <i>
      <x/>
    </i>
    <i i="1">
      <x v="1"/>
    </i>
  </colItems>
  <dataFields count="2">
    <dataField name="Count of PropertyID" fld="0" subtotal="count" baseField="2" baseItem="0"/>
    <dataField name="Count of PropertyID2" fld="0" subtotal="count" showDataAs="percentOfTotal" baseField="2" baseItem="0" numFmtId="9"/>
  </dataFields>
  <formats count="1">
    <format dxfId="467">
      <pivotArea outline="0" collapsedLevelsAreSubtotals="1" fieldPosition="0">
        <references count="1">
          <reference field="4294967294" count="1" selected="0">
            <x v="1"/>
          </reference>
        </references>
      </pivotArea>
    </format>
  </formats>
  <chartFormats count="1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pivotArea type="data" outline="0" fieldPosition="0">
        <references count="2">
          <reference field="4294967294" count="1" selected="0">
            <x v="0"/>
          </reference>
          <reference field="2" count="1" selected="0">
            <x v="0"/>
          </reference>
        </references>
      </pivotArea>
    </chartFormat>
    <chartFormat chart="3" format="3">
      <pivotArea type="data" outline="0" fieldPosition="0">
        <references count="2">
          <reference field="4294967294" count="1" selected="0">
            <x v="0"/>
          </reference>
          <reference field="2" count="1" selected="0">
            <x v="1"/>
          </reference>
        </references>
      </pivotArea>
    </chartFormat>
    <chartFormat chart="3" format="4">
      <pivotArea type="data" outline="0" fieldPosition="0">
        <references count="2">
          <reference field="4294967294" count="1" selected="0">
            <x v="0"/>
          </reference>
          <reference field="2" count="1" selected="0">
            <x v="2"/>
          </reference>
        </references>
      </pivotArea>
    </chartFormat>
    <chartFormat chart="3" format="5">
      <pivotArea type="data" outline="0" fieldPosition="0">
        <references count="2">
          <reference field="4294967294" count="1" selected="0">
            <x v="0"/>
          </reference>
          <reference field="2" count="1" selected="0">
            <x v="3"/>
          </reference>
        </references>
      </pivotArea>
    </chartFormat>
    <chartFormat chart="3" format="6">
      <pivotArea type="data" outline="0" fieldPosition="0">
        <references count="2">
          <reference field="4294967294" count="1" selected="0">
            <x v="1"/>
          </reference>
          <reference field="2" count="1" selected="0">
            <x v="0"/>
          </reference>
        </references>
      </pivotArea>
    </chartFormat>
    <chartFormat chart="3" format="7">
      <pivotArea type="data" outline="0" fieldPosition="0">
        <references count="2">
          <reference field="4294967294" count="1" selected="0">
            <x v="1"/>
          </reference>
          <reference field="2" count="1" selected="0">
            <x v="1"/>
          </reference>
        </references>
      </pivotArea>
    </chartFormat>
    <chartFormat chart="3" format="8">
      <pivotArea type="data" outline="0" fieldPosition="0">
        <references count="2">
          <reference field="4294967294" count="1" selected="0">
            <x v="1"/>
          </reference>
          <reference field="2" count="1" selected="0">
            <x v="2"/>
          </reference>
        </references>
      </pivotArea>
    </chartFormat>
    <chartFormat chart="3" format="9">
      <pivotArea type="data" outline="0" fieldPosition="0">
        <references count="2">
          <reference field="4294967294" count="1" selected="0">
            <x v="1"/>
          </reference>
          <reference field="2" count="1" selected="0">
            <x v="3"/>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13002C-B712-4A7E-9BBD-02046B518196}"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3:E9" firstHeaderRow="1" firstDataRow="1" firstDataCol="1"/>
  <pivotFields count="14">
    <pivotField showAll="0"/>
    <pivotField showAll="0"/>
    <pivotField showAll="0"/>
    <pivotField dataField="1" numFmtId="164" showAll="0"/>
    <pivotField showAll="0">
      <items count="4">
        <item x="0"/>
        <item x="2"/>
        <item x="1"/>
        <item t="default"/>
      </items>
    </pivotField>
    <pivotField showAll="0"/>
    <pivotField showAll="0">
      <items count="6">
        <item x="3"/>
        <item x="2"/>
        <item x="0"/>
        <item x="1"/>
        <item x="4"/>
        <item t="default"/>
      </items>
    </pivotField>
    <pivotField axis="axisRow" showAll="0" sortType="descending">
      <items count="6">
        <item x="4"/>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64" showAll="0"/>
  </pivotFields>
  <rowFields count="1">
    <field x="7"/>
  </rowFields>
  <rowItems count="6">
    <i>
      <x v="3"/>
    </i>
    <i>
      <x v="4"/>
    </i>
    <i>
      <x/>
    </i>
    <i>
      <x v="1"/>
    </i>
    <i>
      <x v="2"/>
    </i>
    <i t="grand">
      <x/>
    </i>
  </rowItems>
  <colItems count="1">
    <i/>
  </colItems>
  <dataFields count="1">
    <dataField name="Sum of SalePrice" fld="3" baseField="0" baseItem="0" numFmtId="164"/>
  </dataFields>
  <formats count="3">
    <format dxfId="470">
      <pivotArea outline="0" collapsedLevelsAreSubtotals="1" fieldPosition="0"/>
    </format>
    <format dxfId="469">
      <pivotArea dataOnly="0" labelOnly="1" outline="0" axis="axisValues" fieldPosition="0"/>
    </format>
    <format dxfId="468">
      <pivotArea outline="0" fieldPosition="0">
        <references count="1">
          <reference field="4294967294" count="1">
            <x v="0"/>
          </reference>
        </references>
      </pivotArea>
    </format>
  </formats>
  <chartFormats count="1">
    <chartFormat chart="10" format="4"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D477D52-B0F7-4EDA-9132-24DF462D7E89}" name="Pivot table 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4:B10" firstHeaderRow="1" firstDataRow="1" firstDataCol="1" rowPageCount="2" colPageCount="1"/>
  <pivotFields count="14">
    <pivotField showAll="0"/>
    <pivotField showAll="0"/>
    <pivotField showAll="0"/>
    <pivotField dataField="1" numFmtId="164" showAll="0"/>
    <pivotField axis="axisPage" showAll="0">
      <items count="4">
        <item x="0"/>
        <item x="2"/>
        <item x="1"/>
        <item t="default"/>
      </items>
    </pivotField>
    <pivotField showAll="0"/>
    <pivotField axis="axisRow" showAll="0" sortType="descending">
      <items count="6">
        <item x="3"/>
        <item x="2"/>
        <item x="0"/>
        <item x="1"/>
        <item x="4"/>
        <item t="default"/>
      </items>
      <autoSortScope>
        <pivotArea dataOnly="0" outline="0" fieldPosition="0">
          <references count="1">
            <reference field="4294967294" count="1" selected="0">
              <x v="0"/>
            </reference>
          </references>
        </pivotArea>
      </autoSortScope>
    </pivotField>
    <pivotField showAll="0">
      <items count="6">
        <item x="4"/>
        <item x="1"/>
        <item x="2"/>
        <item x="3"/>
        <item x="0"/>
        <item t="default"/>
      </items>
    </pivotField>
    <pivotField showAll="0"/>
    <pivotField axis="axisPage" showAll="0">
      <items count="3">
        <item x="0"/>
        <item x="1"/>
        <item t="default"/>
      </items>
    </pivotField>
    <pivotField showAll="0"/>
    <pivotField showAll="0"/>
    <pivotField showAll="0"/>
    <pivotField numFmtId="164" showAll="0"/>
  </pivotFields>
  <rowFields count="1">
    <field x="6"/>
  </rowFields>
  <rowItems count="6">
    <i>
      <x v="2"/>
    </i>
    <i>
      <x v="3"/>
    </i>
    <i>
      <x/>
    </i>
    <i>
      <x v="1"/>
    </i>
    <i>
      <x v="4"/>
    </i>
    <i t="grand">
      <x/>
    </i>
  </rowItems>
  <colItems count="1">
    <i/>
  </colItems>
  <pageFields count="2">
    <pageField fld="4" hier="-1"/>
    <pageField fld="9" item="1" hier="-1"/>
  </pageFields>
  <dataFields count="1">
    <dataField name="Sum of SalePrice" fld="3" baseField="6" baseItem="1" numFmtId="164"/>
  </dataFields>
  <formats count="2">
    <format dxfId="472">
      <pivotArea outline="0" collapsedLevelsAreSubtotals="1" fieldPosition="0"/>
    </format>
    <format dxfId="471">
      <pivotArea dataOnly="0" labelOnly="1" outline="0" axis="axisValues" fieldPosition="0"/>
    </format>
  </formats>
  <chartFormats count="2">
    <chartFormat chart="15"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433D34E-74C8-42A5-BC46-1E23DB0889FA}"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G3:H21" firstHeaderRow="1" firstDataRow="1" firstDataCol="1"/>
  <pivotFields count="14">
    <pivotField showAll="0"/>
    <pivotField showAll="0"/>
    <pivotField showAll="0"/>
    <pivotField dataField="1" numFmtId="164" showAll="0"/>
    <pivotField showAll="0">
      <items count="4">
        <item x="0"/>
        <item x="2"/>
        <item x="1"/>
        <item t="default"/>
      </items>
    </pivotField>
    <pivotField showAll="0"/>
    <pivotField showAll="0">
      <items count="6">
        <item x="3"/>
        <item x="2"/>
        <item x="0"/>
        <item x="1"/>
        <item x="4"/>
        <item t="default"/>
      </items>
    </pivotField>
    <pivotField showAll="0" sortType="descending">
      <items count="6">
        <item x="4"/>
        <item x="1"/>
        <item x="2"/>
        <item x="3"/>
        <item x="0"/>
        <item t="default"/>
      </items>
      <autoSortScope>
        <pivotArea dataOnly="0" outline="0" fieldPosition="0">
          <references count="1">
            <reference field="4294967294" count="1" selected="0">
              <x v="0"/>
            </reference>
          </references>
        </pivotArea>
      </autoSortScope>
    </pivotField>
    <pivotField axis="axisRow" showAll="0">
      <items count="18">
        <item x="8"/>
        <item x="13"/>
        <item x="6"/>
        <item x="3"/>
        <item x="14"/>
        <item x="15"/>
        <item x="0"/>
        <item x="7"/>
        <item x="11"/>
        <item x="12"/>
        <item x="5"/>
        <item x="10"/>
        <item x="2"/>
        <item x="4"/>
        <item x="9"/>
        <item x="1"/>
        <item x="16"/>
        <item t="default"/>
      </items>
    </pivotField>
    <pivotField showAll="0"/>
    <pivotField showAll="0"/>
    <pivotField showAll="0"/>
    <pivotField showAll="0"/>
    <pivotField numFmtId="164" showAll="0"/>
  </pivotFields>
  <rowFields count="1">
    <field x="8"/>
  </rowFields>
  <rowItems count="18">
    <i>
      <x/>
    </i>
    <i>
      <x v="1"/>
    </i>
    <i>
      <x v="2"/>
    </i>
    <i>
      <x v="3"/>
    </i>
    <i>
      <x v="4"/>
    </i>
    <i>
      <x v="5"/>
    </i>
    <i>
      <x v="6"/>
    </i>
    <i>
      <x v="7"/>
    </i>
    <i>
      <x v="8"/>
    </i>
    <i>
      <x v="9"/>
    </i>
    <i>
      <x v="10"/>
    </i>
    <i>
      <x v="11"/>
    </i>
    <i>
      <x v="12"/>
    </i>
    <i>
      <x v="13"/>
    </i>
    <i>
      <x v="14"/>
    </i>
    <i>
      <x v="15"/>
    </i>
    <i>
      <x v="16"/>
    </i>
    <i t="grand">
      <x/>
    </i>
  </rowItems>
  <colItems count="1">
    <i/>
  </colItems>
  <dataFields count="1">
    <dataField name="Sum of SalePrice" fld="3" baseField="0" baseItem="0" numFmtId="164"/>
  </dataFields>
  <formats count="3">
    <format dxfId="475">
      <pivotArea outline="0" collapsedLevelsAreSubtotals="1" fieldPosition="0"/>
    </format>
    <format dxfId="474">
      <pivotArea dataOnly="0" labelOnly="1" outline="0" axis="axisValues" fieldPosition="0"/>
    </format>
    <format dxfId="473">
      <pivotArea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A2AFBDB-1F80-4D47-871A-01691C41853D}"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15:J16" firstHeaderRow="1" firstDataRow="1" firstDataCol="0"/>
  <pivotFields count="14">
    <pivotField showAll="0"/>
    <pivotField showAll="0"/>
    <pivotField showAll="0"/>
    <pivotField dataField="1" numFmtId="164" showAll="0"/>
    <pivotField showAll="0">
      <items count="4">
        <item x="0"/>
        <item x="2"/>
        <item x="1"/>
        <item t="default"/>
      </items>
    </pivotField>
    <pivotField showAll="0"/>
    <pivotField showAll="0" sortType="descending">
      <items count="6">
        <item x="3"/>
        <item x="2"/>
        <item x="0"/>
        <item x="1"/>
        <item x="4"/>
        <item t="default"/>
      </items>
      <autoSortScope>
        <pivotArea dataOnly="0" outline="0" fieldPosition="0">
          <references count="1">
            <reference field="4294967294" count="1" selected="0">
              <x v="0"/>
            </reference>
          </references>
        </pivotArea>
      </autoSortScope>
    </pivotField>
    <pivotField showAll="0">
      <items count="6">
        <item x="4"/>
        <item x="1"/>
        <item x="2"/>
        <item x="3"/>
        <item x="0"/>
        <item t="default"/>
      </items>
    </pivotField>
    <pivotField showAll="0"/>
    <pivotField showAll="0"/>
    <pivotField showAll="0"/>
    <pivotField showAll="0"/>
    <pivotField showAll="0"/>
    <pivotField numFmtId="164" showAll="0"/>
  </pivotFields>
  <rowItems count="1">
    <i/>
  </rowItems>
  <colItems count="1">
    <i/>
  </colItems>
  <dataFields count="1">
    <dataField name="Max of SalePrice" fld="3" subtotal="max" baseField="0" baseItem="0" numFmtId="164"/>
  </dataFields>
  <formats count="2">
    <format dxfId="477">
      <pivotArea outline="0" collapsedLevelsAreSubtotals="1" fieldPosition="0"/>
    </format>
    <format dxfId="476">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2E84375-21F0-4F8A-97C0-0D9F7C2AD3D4}"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21:J22" firstHeaderRow="1" firstDataRow="1" firstDataCol="0"/>
  <pivotFields count="14">
    <pivotField showAll="0"/>
    <pivotField showAll="0"/>
    <pivotField showAll="0"/>
    <pivotField numFmtId="164" showAll="0"/>
    <pivotField dataField="1" showAll="0" countASubtotal="1">
      <items count="4">
        <item x="0"/>
        <item x="2"/>
        <item x="1"/>
        <item t="countA"/>
      </items>
    </pivotField>
    <pivotField showAll="0">
      <items count="307">
        <item x="238"/>
        <item x="50"/>
        <item x="264"/>
        <item x="160"/>
        <item x="15"/>
        <item x="207"/>
        <item x="260"/>
        <item x="62"/>
        <item x="46"/>
        <item x="217"/>
        <item x="182"/>
        <item x="176"/>
        <item x="123"/>
        <item x="254"/>
        <item x="206"/>
        <item x="142"/>
        <item x="115"/>
        <item x="131"/>
        <item x="48"/>
        <item x="150"/>
        <item x="30"/>
        <item x="97"/>
        <item x="134"/>
        <item x="52"/>
        <item x="55"/>
        <item x="28"/>
        <item x="74"/>
        <item x="151"/>
        <item x="96"/>
        <item x="108"/>
        <item x="58"/>
        <item x="125"/>
        <item x="189"/>
        <item x="67"/>
        <item x="127"/>
        <item x="31"/>
        <item x="137"/>
        <item x="274"/>
        <item x="70"/>
        <item x="208"/>
        <item x="117"/>
        <item x="256"/>
        <item x="54"/>
        <item x="68"/>
        <item x="91"/>
        <item x="107"/>
        <item x="49"/>
        <item x="10"/>
        <item x="27"/>
        <item x="261"/>
        <item x="167"/>
        <item x="172"/>
        <item x="73"/>
        <item x="87"/>
        <item x="297"/>
        <item x="93"/>
        <item x="20"/>
        <item x="227"/>
        <item x="3"/>
        <item x="168"/>
        <item x="192"/>
        <item x="156"/>
        <item x="175"/>
        <item x="201"/>
        <item x="302"/>
        <item x="197"/>
        <item x="98"/>
        <item x="136"/>
        <item x="81"/>
        <item x="179"/>
        <item x="257"/>
        <item x="293"/>
        <item x="184"/>
        <item x="114"/>
        <item x="163"/>
        <item x="135"/>
        <item x="202"/>
        <item x="303"/>
        <item x="147"/>
        <item x="283"/>
        <item x="38"/>
        <item x="164"/>
        <item x="99"/>
        <item x="199"/>
        <item x="237"/>
        <item x="288"/>
        <item x="103"/>
        <item x="32"/>
        <item x="287"/>
        <item x="165"/>
        <item x="84"/>
        <item x="153"/>
        <item x="180"/>
        <item x="129"/>
        <item x="203"/>
        <item x="35"/>
        <item x="263"/>
        <item x="181"/>
        <item x="193"/>
        <item x="277"/>
        <item x="281"/>
        <item x="41"/>
        <item x="242"/>
        <item x="105"/>
        <item x="286"/>
        <item x="304"/>
        <item x="226"/>
        <item x="95"/>
        <item x="80"/>
        <item x="11"/>
        <item x="222"/>
        <item x="102"/>
        <item x="157"/>
        <item x="111"/>
        <item x="188"/>
        <item x="158"/>
        <item x="6"/>
        <item x="88"/>
        <item x="155"/>
        <item x="276"/>
        <item x="121"/>
        <item x="53"/>
        <item x="4"/>
        <item x="258"/>
        <item x="0"/>
        <item x="13"/>
        <item x="252"/>
        <item x="210"/>
        <item x="299"/>
        <item x="204"/>
        <item x="212"/>
        <item x="120"/>
        <item x="267"/>
        <item x="116"/>
        <item x="211"/>
        <item x="33"/>
        <item x="194"/>
        <item x="39"/>
        <item x="101"/>
        <item x="225"/>
        <item x="301"/>
        <item x="63"/>
        <item x="14"/>
        <item x="12"/>
        <item x="119"/>
        <item x="280"/>
        <item x="205"/>
        <item x="284"/>
        <item x="243"/>
        <item x="216"/>
        <item x="86"/>
        <item x="76"/>
        <item x="59"/>
        <item x="262"/>
        <item x="298"/>
        <item x="34"/>
        <item x="29"/>
        <item x="255"/>
        <item x="104"/>
        <item x="77"/>
        <item x="51"/>
        <item x="245"/>
        <item x="221"/>
        <item x="141"/>
        <item x="268"/>
        <item x="25"/>
        <item x="19"/>
        <item x="124"/>
        <item x="75"/>
        <item x="269"/>
        <item x="250"/>
        <item x="122"/>
        <item x="83"/>
        <item x="282"/>
        <item x="231"/>
        <item x="133"/>
        <item x="143"/>
        <item x="140"/>
        <item x="234"/>
        <item x="47"/>
        <item x="71"/>
        <item x="246"/>
        <item x="241"/>
        <item x="214"/>
        <item x="154"/>
        <item x="23"/>
        <item x="100"/>
        <item x="177"/>
        <item x="7"/>
        <item x="161"/>
        <item x="305"/>
        <item x="174"/>
        <item x="45"/>
        <item x="190"/>
        <item x="230"/>
        <item x="186"/>
        <item x="26"/>
        <item x="21"/>
        <item x="178"/>
        <item x="218"/>
        <item x="66"/>
        <item x="44"/>
        <item x="195"/>
        <item x="61"/>
        <item x="236"/>
        <item x="294"/>
        <item x="118"/>
        <item x="112"/>
        <item x="289"/>
        <item x="126"/>
        <item x="36"/>
        <item x="229"/>
        <item x="232"/>
        <item x="220"/>
        <item x="79"/>
        <item x="166"/>
        <item x="89"/>
        <item x="85"/>
        <item x="196"/>
        <item x="18"/>
        <item x="235"/>
        <item x="200"/>
        <item x="170"/>
        <item x="138"/>
        <item x="65"/>
        <item x="233"/>
        <item x="173"/>
        <item x="209"/>
        <item x="2"/>
        <item x="187"/>
        <item x="215"/>
        <item x="224"/>
        <item x="128"/>
        <item x="213"/>
        <item x="247"/>
        <item x="219"/>
        <item x="228"/>
        <item x="17"/>
        <item x="9"/>
        <item x="152"/>
        <item x="191"/>
        <item x="5"/>
        <item x="239"/>
        <item x="78"/>
        <item x="148"/>
        <item x="169"/>
        <item x="266"/>
        <item x="109"/>
        <item x="240"/>
        <item x="149"/>
        <item x="265"/>
        <item x="145"/>
        <item x="69"/>
        <item x="278"/>
        <item x="106"/>
        <item x="171"/>
        <item x="162"/>
        <item x="42"/>
        <item x="295"/>
        <item x="296"/>
        <item x="146"/>
        <item x="139"/>
        <item x="113"/>
        <item x="248"/>
        <item x="60"/>
        <item x="159"/>
        <item x="64"/>
        <item x="244"/>
        <item x="22"/>
        <item x="183"/>
        <item x="249"/>
        <item x="275"/>
        <item x="223"/>
        <item x="56"/>
        <item x="16"/>
        <item x="110"/>
        <item x="271"/>
        <item x="57"/>
        <item x="285"/>
        <item x="37"/>
        <item x="290"/>
        <item x="43"/>
        <item x="24"/>
        <item x="185"/>
        <item x="92"/>
        <item x="1"/>
        <item x="8"/>
        <item x="273"/>
        <item x="251"/>
        <item x="259"/>
        <item x="279"/>
        <item x="94"/>
        <item x="40"/>
        <item x="272"/>
        <item x="270"/>
        <item x="253"/>
        <item x="130"/>
        <item x="292"/>
        <item x="72"/>
        <item x="198"/>
        <item x="132"/>
        <item x="82"/>
        <item x="90"/>
        <item x="291"/>
        <item x="144"/>
        <item x="300"/>
        <item t="default"/>
      </items>
    </pivotField>
    <pivotField showAll="0">
      <items count="6">
        <item x="3"/>
        <item x="2"/>
        <item x="0"/>
        <item x="1"/>
        <item x="4"/>
        <item t="default"/>
      </items>
    </pivotField>
    <pivotField showAll="0">
      <items count="6">
        <item x="4"/>
        <item x="1"/>
        <item x="2"/>
        <item x="3"/>
        <item x="0"/>
        <item t="default"/>
      </items>
    </pivotField>
    <pivotField showAll="0"/>
    <pivotField showAll="0"/>
    <pivotField showAll="0"/>
    <pivotField showAll="0"/>
    <pivotField showAll="0"/>
    <pivotField numFmtId="164" showAll="0"/>
  </pivotFields>
  <rowItems count="1">
    <i/>
  </rowItems>
  <colItems count="1">
    <i/>
  </colItems>
  <dataFields count="1">
    <dataField name="Count of Status" fld="4" subtotal="count" baseField="0" baseItem="0"/>
  </dataFields>
  <formats count="2">
    <format dxfId="479">
      <pivotArea dataOnly="0" labelOnly="1" outline="0" axis="axisValues" fieldPosition="0"/>
    </format>
    <format dxfId="478">
      <pivotArea outline="0" collapsedLevelsAreSubtotals="1" fieldPosition="0"/>
    </format>
  </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D08E8CF-8DCD-43EC-B07B-348A8A3391FB}"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J3:K9" firstHeaderRow="1" firstDataRow="1" firstDataCol="1"/>
  <pivotFields count="14">
    <pivotField showAll="0"/>
    <pivotField showAll="0"/>
    <pivotField showAll="0"/>
    <pivotField dataField="1" numFmtId="164" showAll="0"/>
    <pivotField showAll="0">
      <items count="4">
        <item x="0"/>
        <item x="2"/>
        <item x="1"/>
        <item t="default"/>
      </items>
    </pivotField>
    <pivotField showAll="0"/>
    <pivotField axis="axisRow" showAll="0">
      <items count="6">
        <item x="3"/>
        <item x="2"/>
        <item x="0"/>
        <item x="1"/>
        <item x="4"/>
        <item t="default"/>
      </items>
    </pivotField>
    <pivotField showAll="0" sortType="descending">
      <items count="6">
        <item x="4"/>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64" showAll="0"/>
  </pivotFields>
  <rowFields count="1">
    <field x="6"/>
  </rowFields>
  <rowItems count="6">
    <i>
      <x/>
    </i>
    <i>
      <x v="1"/>
    </i>
    <i>
      <x v="2"/>
    </i>
    <i>
      <x v="3"/>
    </i>
    <i>
      <x v="4"/>
    </i>
    <i t="grand">
      <x/>
    </i>
  </rowItems>
  <colItems count="1">
    <i/>
  </colItems>
  <dataFields count="1">
    <dataField name="Sum of SalePrice" fld="3" showDataAs="percentOfTotal" baseField="6" baseItem="0" numFmtId="9"/>
  </dataFields>
  <formats count="3">
    <format dxfId="482">
      <pivotArea outline="0" fieldPosition="0">
        <references count="1">
          <reference field="4294967294" count="1">
            <x v="0"/>
          </reference>
        </references>
      </pivotArea>
    </format>
    <format dxfId="481">
      <pivotArea outline="0" collapsedLevelsAreSubtotals="1" fieldPosition="0"/>
    </format>
    <format dxfId="480">
      <pivotArea dataOnly="0" labelOnly="1" outline="0" axis="axisValues" fieldPosition="0"/>
    </format>
  </formats>
  <chartFormats count="6">
    <chartFormat chart="11" format="19" series="1">
      <pivotArea type="data" outline="0" fieldPosition="0">
        <references count="1">
          <reference field="4294967294" count="1" selected="0">
            <x v="0"/>
          </reference>
        </references>
      </pivotArea>
    </chartFormat>
    <chartFormat chart="11" format="20">
      <pivotArea type="data" outline="0" fieldPosition="0">
        <references count="2">
          <reference field="4294967294" count="1" selected="0">
            <x v="0"/>
          </reference>
          <reference field="6" count="1" selected="0">
            <x v="0"/>
          </reference>
        </references>
      </pivotArea>
    </chartFormat>
    <chartFormat chart="11" format="21">
      <pivotArea type="data" outline="0" fieldPosition="0">
        <references count="2">
          <reference field="4294967294" count="1" selected="0">
            <x v="0"/>
          </reference>
          <reference field="6" count="1" selected="0">
            <x v="1"/>
          </reference>
        </references>
      </pivotArea>
    </chartFormat>
    <chartFormat chart="11" format="22">
      <pivotArea type="data" outline="0" fieldPosition="0">
        <references count="2">
          <reference field="4294967294" count="1" selected="0">
            <x v="0"/>
          </reference>
          <reference field="6" count="1" selected="0">
            <x v="2"/>
          </reference>
        </references>
      </pivotArea>
    </chartFormat>
    <chartFormat chart="11" format="23">
      <pivotArea type="data" outline="0" fieldPosition="0">
        <references count="2">
          <reference field="4294967294" count="1" selected="0">
            <x v="0"/>
          </reference>
          <reference field="6" count="1" selected="0">
            <x v="3"/>
          </reference>
        </references>
      </pivotArea>
    </chartFormat>
    <chartFormat chart="11" format="24">
      <pivotArea type="data" outline="0" fieldPosition="0">
        <references count="2">
          <reference field="4294967294" count="1" selected="0">
            <x v="0"/>
          </reference>
          <reference field="6" count="1" selected="0">
            <x v="4"/>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849B6801-CCA8-45E1-999C-18F25073D3C1}" sourceName="Status">
  <pivotTables>
    <pivotTable tabId="4" name="Pivot table 1"/>
    <pivotTable tabId="4" name="PivotTable1"/>
    <pivotTable tabId="4" name="PivotTable2"/>
    <pivotTable tabId="4" name="PivotTable3"/>
    <pivotTable tabId="4" name="PivotTable4"/>
    <pivotTable tabId="4" name="PivotTable6"/>
    <pivotTable tabId="4" name="PivotTable7"/>
    <pivotTable tabId="4" name="PivotTable8"/>
  </pivotTables>
  <data>
    <tabular pivotCacheId="1421326200">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76CFA6A-3C86-484C-A4FA-4DD6E94023C0}" sourceName="City">
  <pivotTables>
    <pivotTable tabId="4" name="Pivot table 1"/>
    <pivotTable tabId="4" name="PivotTable1"/>
    <pivotTable tabId="4" name="PivotTable2"/>
    <pivotTable tabId="4" name="PivotTable3"/>
    <pivotTable tabId="4" name="PivotTable4"/>
    <pivotTable tabId="4" name="PivotTable6"/>
    <pivotTable tabId="4" name="PivotTable7"/>
    <pivotTable tabId="4" name="PivotTable8"/>
  </pivotTables>
  <data>
    <tabular pivotCacheId="1421326200">
      <items count="5">
        <i x="3" s="1"/>
        <i x="2" s="1"/>
        <i x="0"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9D81D2DC-3E0B-431C-991C-41B0568A7F3C}" cache="Slicer_Status" caption="Status" style="SlicerStyleDark6" rowHeight="234950"/>
  <slicer name="City" xr10:uid="{A292814B-458A-47A7-BFE9-826B968BF4AE}" cache="Slicer_City" caption="City"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EE3808-D496-4A5F-82C9-47AEDD5A5C67}" name="Table1" displayName="Table1" ref="A1:E301" totalsRowShown="0">
  <autoFilter ref="A1:E301" xr:uid="{04EE3808-D496-4A5F-82C9-47AEDD5A5C67}"/>
  <tableColumns count="5">
    <tableColumn id="1" xr3:uid="{7C5E4680-F982-44F2-BABF-37F60C3B296F}" name="PropertyID"/>
    <tableColumn id="2" xr3:uid="{A1698586-807C-4148-909F-2AD005B3A2A7}" name="City"/>
    <tableColumn id="3" xr3:uid="{9C3E1638-1462-4A33-8853-821F97DF2E2B}" name="Type"/>
    <tableColumn id="4" xr3:uid="{ACB9982F-DE0C-4B6F-A9D2-30E7AF026FF7}" name="ListingPrice" dataDxfId="494"/>
    <tableColumn id="5" xr3:uid="{9F3A7C06-B3FD-4CBB-B6A5-958C756199C2}" name="ListedDate" dataDxfId="493"/>
  </tableColumns>
  <tableStyleInfo name="TableStyleMedium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68E2848-7C5C-4E29-B0B7-F3BF4CEC468B}" name="Table5" displayName="Table5" ref="G1:G2" totalsRowShown="0">
  <autoFilter ref="G1:G2" xr:uid="{768E2848-7C5C-4E29-B0B7-F3BF4CEC468B}"/>
  <tableColumns count="1">
    <tableColumn id="1" xr3:uid="{5371CB15-C1FC-4AD8-9B73-09679078798F}" name="Properties in Becej">
      <calculatedColumnFormula>COUNTIF(B2:B301, "Becej")</calculatedColumnFormula>
    </tableColumn>
  </tableColumns>
  <tableStyleInfo name="TableStyleMedium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0AA9C4A-E9E1-4BAF-A303-0705405416AE}" name="Table2" displayName="Table2" ref="A1:C11" totalsRowShown="0">
  <autoFilter ref="A1:C11" xr:uid="{30AA9C4A-E9E1-4BAF-A303-0705405416AE}"/>
  <tableColumns count="3">
    <tableColumn id="1" xr3:uid="{FDF20260-5E80-47CA-9E64-A09DC44F1E93}" name="AgentID"/>
    <tableColumn id="2" xr3:uid="{EE43D28D-369B-4F5A-98E7-F015B58471A7}" name="AgentName"/>
    <tableColumn id="3" xr3:uid="{5FAED8D2-7CD7-4A39-8363-1F61D5F86B92}" name="Regio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2D9EAFE-842D-466D-85C8-C2A141A46A4C}" name="Table3" displayName="Table3" ref="A1:N501" totalsRowShown="0">
  <autoFilter ref="A1:N501" xr:uid="{22D9EAFE-842D-466D-85C8-C2A141A46A4C}"/>
  <tableColumns count="14">
    <tableColumn id="1" xr3:uid="{92AEB439-FBC7-4CF3-8A81-C167BE05EF0D}" name="TransactionID"/>
    <tableColumn id="2" xr3:uid="{D5A96FA3-39A6-4C22-9551-F69AF9220936}" name="PropertyID"/>
    <tableColumn id="3" xr3:uid="{00BEE74E-9E35-447F-A9BC-134A53BA7099}" name="AgentID"/>
    <tableColumn id="4" xr3:uid="{8454AAB5-09AD-4D5B-811A-B5C10D8E5262}" name="SalePrice" dataDxfId="492"/>
    <tableColumn id="5" xr3:uid="{28900B36-1306-4BAD-9EC1-2D19A93D966B}" name="Status"/>
    <tableColumn id="6" xr3:uid="{A849734E-93E6-4964-AE1F-0C597FF98DC1}" name="SaleDate" dataDxfId="491"/>
    <tableColumn id="7" xr3:uid="{0423AC0E-5045-42B4-859F-E838A461B108}" name="City" dataDxfId="490">
      <calculatedColumnFormula>_xlfn.XLOOKUP(B2, Properties!A:A, Properties!B:B, FALSE)</calculatedColumnFormula>
    </tableColumn>
    <tableColumn id="8" xr3:uid="{BB3756ED-4124-4437-9A1E-52AD57AEB747}" name="Agent Name" dataDxfId="489">
      <calculatedColumnFormula>_xlfn.XLOOKUP(C2, Agents!A:A, Agents!B:B, FALSE)</calculatedColumnFormula>
    </tableColumn>
    <tableColumn id="9" xr3:uid="{1607BCEF-F925-45ED-87A4-724E8EFCC2B4}" name="Month" dataDxfId="488">
      <calculatedColumnFormula>TEXT(F2, "YYYY-MM")</calculatedColumnFormula>
    </tableColumn>
    <tableColumn id="10" xr3:uid="{290D103D-40D7-4B82-BC37-7E369AD1D4AA}" name="Performance" dataDxfId="487">
      <calculatedColumnFormula>IF(D2&gt;200000, "Luxury", "Standard")</calculatedColumnFormula>
    </tableColumn>
    <tableColumn id="11" xr3:uid="{14E21016-230B-4853-B05F-B1D1F4676F79}" name="Commission Level" dataDxfId="486">
      <calculatedColumnFormula>IF(D2&gt;250000, "High", IF(D2&gt;150000, "Medium", "Low"))</calculatedColumnFormula>
    </tableColumn>
    <tableColumn id="12" xr3:uid="{420E0255-9E0C-4D2C-AA0C-96C6B8DB33C9}" name="Priority Deal" dataDxfId="485">
      <calculatedColumnFormula>IF(AND(E2="Sold", D2&gt;200000), "Yes", "No")</calculatedColumnFormula>
    </tableColumn>
    <tableColumn id="13" xr3:uid="{E2A9875C-4482-401D-A083-1D45A384825E}" name="Attention Needed" dataDxfId="484">
      <calculatedColumnFormula>IF(OR(E2="Pending", E2="Cancelled"), "Attention Needed", "Ok")</calculatedColumnFormula>
    </tableColumn>
    <tableColumn id="14" xr3:uid="{CA9E58FC-48BF-4B35-BF06-A99EB7D151F0}" name="Listing Price" dataDxfId="483">
      <calculatedColumnFormula>_xlfn.XLOOKUP(B2, Properties!A:A, Properties!D:D, FALSE)</calculatedColumnFormula>
    </tableColumn>
  </tableColumns>
  <tableStyleInfo name="TableStyleMedium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E3D48AC-1BBE-427C-95E7-76241EB385BA}" name="Table4" displayName="Table4" ref="A1:E2" totalsRowShown="0">
  <autoFilter ref="A1:E2" xr:uid="{AE3D48AC-1BBE-427C-95E7-76241EB385BA}"/>
  <tableColumns count="5">
    <tableColumn id="1" xr3:uid="{3DE72416-FB16-42BC-9F88-7ABB743EB24B}" name="Sold Transactions">
      <calculatedColumnFormula>COUNTIF(Sales!E2:E501, "Sold")</calculatedColumnFormula>
    </tableColumn>
    <tableColumn id="2" xr3:uid="{3E84E3B3-F625-40E6-B5EA-D13CC258030B}" name="Total Sales for status &quot;Sold&quot;" dataDxfId="460" dataCellStyle="Currency">
      <calculatedColumnFormula>SUMIF(Sales!E2:E501, "Sold", Sales!D2:D501)</calculatedColumnFormula>
    </tableColumn>
    <tableColumn id="3" xr3:uid="{09F2E0D8-7F09-4C91-9AAF-9C2EDB4FA47A}" name="Sales for AgentID = 3" dataDxfId="459">
      <calculatedColumnFormula>SUMIFS(Sales!D2:D501, Sales!C2:C501, 3, Sales!E2:E501, "Sold")</calculatedColumnFormula>
    </tableColumn>
    <tableColumn id="4" xr3:uid="{0602C83E-99DC-41A3-9DCE-4D6FE3B74442}" name="Sales for City = Belgrade" dataDxfId="458">
      <calculatedColumnFormula>SUMIFS(Sales!D2:D501, Sales!G2:G501, "Belgrade", Sales!E2:E501, "Sold")</calculatedColumnFormula>
    </tableColumn>
    <tableColumn id="5" xr3:uid="{10B34A8B-7175-491A-AA0B-53DAC32533FE}" name="Pending for AgentID = 5">
      <calculatedColumnFormula>COUNTIFS(Sales!C2:C501, 5, Sales!E2:E501, "Pending")</calculatedColumnFormula>
    </tableColumn>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G301"/>
  <sheetViews>
    <sheetView workbookViewId="0">
      <selection activeCell="G2" sqref="G2"/>
    </sheetView>
  </sheetViews>
  <sheetFormatPr defaultRowHeight="14.4" x14ac:dyDescent="0.3"/>
  <cols>
    <col min="1" max="1" width="12" customWidth="1"/>
    <col min="2" max="2" width="11.33203125" customWidth="1"/>
    <col min="3" max="3" width="13.33203125" customWidth="1"/>
    <col min="4" max="4" width="15" customWidth="1"/>
    <col min="5" max="5" width="12.88671875" customWidth="1"/>
    <col min="7" max="7" width="18.44140625" customWidth="1"/>
  </cols>
  <sheetData>
    <row r="1" spans="1:7" x14ac:dyDescent="0.3">
      <c r="A1" t="s">
        <v>0</v>
      </c>
      <c r="B1" t="s">
        <v>1</v>
      </c>
      <c r="C1" t="s">
        <v>2</v>
      </c>
      <c r="D1" s="3" t="s">
        <v>3</v>
      </c>
      <c r="E1" s="1" t="s">
        <v>4</v>
      </c>
      <c r="G1" t="s">
        <v>426</v>
      </c>
    </row>
    <row r="2" spans="1:7" x14ac:dyDescent="0.3">
      <c r="A2">
        <v>1</v>
      </c>
      <c r="B2" t="s">
        <v>5</v>
      </c>
      <c r="C2" t="s">
        <v>6</v>
      </c>
      <c r="D2" s="3">
        <v>224393</v>
      </c>
      <c r="E2" s="1" t="s">
        <v>7</v>
      </c>
      <c r="G2">
        <f>COUNTIF(B2:B301, "Becej")</f>
        <v>62</v>
      </c>
    </row>
    <row r="3" spans="1:7" x14ac:dyDescent="0.3">
      <c r="A3">
        <v>2</v>
      </c>
      <c r="B3" t="s">
        <v>8</v>
      </c>
      <c r="C3" t="s">
        <v>9</v>
      </c>
      <c r="D3" s="3">
        <v>66579</v>
      </c>
      <c r="E3" s="1" t="s">
        <v>10</v>
      </c>
    </row>
    <row r="4" spans="1:7" x14ac:dyDescent="0.3">
      <c r="A4">
        <v>3</v>
      </c>
      <c r="B4" t="s">
        <v>5</v>
      </c>
      <c r="C4" t="s">
        <v>6</v>
      </c>
      <c r="D4" s="3">
        <v>184794</v>
      </c>
      <c r="E4" s="1" t="s">
        <v>11</v>
      </c>
    </row>
    <row r="5" spans="1:7" x14ac:dyDescent="0.3">
      <c r="A5">
        <v>4</v>
      </c>
      <c r="B5" t="s">
        <v>5</v>
      </c>
      <c r="C5" t="s">
        <v>6</v>
      </c>
      <c r="D5" s="3">
        <v>54561</v>
      </c>
      <c r="E5" s="1" t="s">
        <v>12</v>
      </c>
    </row>
    <row r="6" spans="1:7" x14ac:dyDescent="0.3">
      <c r="A6">
        <v>5</v>
      </c>
      <c r="B6" t="s">
        <v>8</v>
      </c>
      <c r="C6" t="s">
        <v>6</v>
      </c>
      <c r="D6" s="3">
        <v>177127</v>
      </c>
      <c r="E6" s="1" t="s">
        <v>13</v>
      </c>
    </row>
    <row r="7" spans="1:7" x14ac:dyDescent="0.3">
      <c r="A7">
        <v>6</v>
      </c>
      <c r="B7" t="s">
        <v>14</v>
      </c>
      <c r="C7" t="s">
        <v>15</v>
      </c>
      <c r="D7" s="3">
        <v>87787</v>
      </c>
      <c r="E7" s="1" t="s">
        <v>16</v>
      </c>
    </row>
    <row r="8" spans="1:7" x14ac:dyDescent="0.3">
      <c r="A8">
        <v>7</v>
      </c>
      <c r="B8" t="s">
        <v>14</v>
      </c>
      <c r="C8" t="s">
        <v>17</v>
      </c>
      <c r="D8" s="3">
        <v>242187</v>
      </c>
      <c r="E8" s="1" t="s">
        <v>18</v>
      </c>
    </row>
    <row r="9" spans="1:7" x14ac:dyDescent="0.3">
      <c r="A9">
        <v>8</v>
      </c>
      <c r="B9" t="s">
        <v>5</v>
      </c>
      <c r="C9" t="s">
        <v>9</v>
      </c>
      <c r="D9" s="3">
        <v>213013</v>
      </c>
      <c r="E9" s="1" t="s">
        <v>11</v>
      </c>
    </row>
    <row r="10" spans="1:7" x14ac:dyDescent="0.3">
      <c r="A10">
        <v>9</v>
      </c>
      <c r="B10" t="s">
        <v>19</v>
      </c>
      <c r="C10" t="s">
        <v>17</v>
      </c>
      <c r="D10" s="3">
        <v>70758</v>
      </c>
      <c r="E10" s="1" t="s">
        <v>20</v>
      </c>
    </row>
    <row r="11" spans="1:7" x14ac:dyDescent="0.3">
      <c r="A11">
        <v>10</v>
      </c>
      <c r="B11" t="s">
        <v>19</v>
      </c>
      <c r="C11" t="s">
        <v>6</v>
      </c>
      <c r="D11" s="3">
        <v>54312</v>
      </c>
      <c r="E11" s="1" t="s">
        <v>21</v>
      </c>
    </row>
    <row r="12" spans="1:7" x14ac:dyDescent="0.3">
      <c r="A12">
        <v>11</v>
      </c>
      <c r="B12" t="s">
        <v>5</v>
      </c>
      <c r="C12" t="s">
        <v>17</v>
      </c>
      <c r="D12" s="3">
        <v>120165</v>
      </c>
      <c r="E12" s="1" t="s">
        <v>22</v>
      </c>
    </row>
    <row r="13" spans="1:7" x14ac:dyDescent="0.3">
      <c r="A13">
        <v>12</v>
      </c>
      <c r="B13" t="s">
        <v>19</v>
      </c>
      <c r="C13" t="s">
        <v>6</v>
      </c>
      <c r="D13" s="3">
        <v>221294</v>
      </c>
      <c r="E13" s="1" t="s">
        <v>23</v>
      </c>
    </row>
    <row r="14" spans="1:7" x14ac:dyDescent="0.3">
      <c r="A14">
        <v>13</v>
      </c>
      <c r="B14" t="s">
        <v>14</v>
      </c>
      <c r="C14" t="s">
        <v>6</v>
      </c>
      <c r="D14" s="3">
        <v>129230</v>
      </c>
      <c r="E14" s="1" t="s">
        <v>24</v>
      </c>
    </row>
    <row r="15" spans="1:7" x14ac:dyDescent="0.3">
      <c r="A15">
        <v>14</v>
      </c>
      <c r="B15" t="s">
        <v>14</v>
      </c>
      <c r="C15" t="s">
        <v>17</v>
      </c>
      <c r="D15" s="3">
        <v>247423</v>
      </c>
      <c r="E15" s="1" t="s">
        <v>25</v>
      </c>
    </row>
    <row r="16" spans="1:7" x14ac:dyDescent="0.3">
      <c r="A16">
        <v>15</v>
      </c>
      <c r="B16" t="s">
        <v>14</v>
      </c>
      <c r="C16" t="s">
        <v>17</v>
      </c>
      <c r="D16" s="3">
        <v>181349</v>
      </c>
      <c r="E16" s="1" t="s">
        <v>26</v>
      </c>
    </row>
    <row r="17" spans="1:5" x14ac:dyDescent="0.3">
      <c r="A17">
        <v>16</v>
      </c>
      <c r="B17" t="s">
        <v>5</v>
      </c>
      <c r="C17" t="s">
        <v>6</v>
      </c>
      <c r="D17" s="3">
        <v>203346</v>
      </c>
      <c r="E17" s="1" t="s">
        <v>27</v>
      </c>
    </row>
    <row r="18" spans="1:5" x14ac:dyDescent="0.3">
      <c r="A18">
        <v>17</v>
      </c>
      <c r="B18" t="s">
        <v>19</v>
      </c>
      <c r="C18" t="s">
        <v>6</v>
      </c>
      <c r="D18" s="3">
        <v>91024</v>
      </c>
      <c r="E18" s="1" t="s">
        <v>28</v>
      </c>
    </row>
    <row r="19" spans="1:5" x14ac:dyDescent="0.3">
      <c r="A19">
        <v>18</v>
      </c>
      <c r="B19" t="s">
        <v>5</v>
      </c>
      <c r="C19" t="s">
        <v>15</v>
      </c>
      <c r="D19" s="3">
        <v>102869</v>
      </c>
      <c r="E19" s="1" t="s">
        <v>29</v>
      </c>
    </row>
    <row r="20" spans="1:5" x14ac:dyDescent="0.3">
      <c r="A20">
        <v>19</v>
      </c>
      <c r="B20" t="s">
        <v>19</v>
      </c>
      <c r="C20" t="s">
        <v>9</v>
      </c>
      <c r="D20" s="3">
        <v>127040</v>
      </c>
      <c r="E20" s="1" t="s">
        <v>30</v>
      </c>
    </row>
    <row r="21" spans="1:5" x14ac:dyDescent="0.3">
      <c r="A21">
        <v>20</v>
      </c>
      <c r="B21" t="s">
        <v>8</v>
      </c>
      <c r="C21" t="s">
        <v>17</v>
      </c>
      <c r="D21" s="3">
        <v>213977</v>
      </c>
      <c r="E21" s="1" t="s">
        <v>31</v>
      </c>
    </row>
    <row r="22" spans="1:5" x14ac:dyDescent="0.3">
      <c r="A22">
        <v>21</v>
      </c>
      <c r="B22" t="s">
        <v>5</v>
      </c>
      <c r="C22" t="s">
        <v>9</v>
      </c>
      <c r="D22" s="3">
        <v>170021</v>
      </c>
      <c r="E22" s="1" t="s">
        <v>32</v>
      </c>
    </row>
    <row r="23" spans="1:5" x14ac:dyDescent="0.3">
      <c r="A23">
        <v>22</v>
      </c>
      <c r="B23" t="s">
        <v>8</v>
      </c>
      <c r="C23" t="s">
        <v>9</v>
      </c>
      <c r="D23" s="3">
        <v>151178</v>
      </c>
      <c r="E23" s="1" t="s">
        <v>21</v>
      </c>
    </row>
    <row r="24" spans="1:5" x14ac:dyDescent="0.3">
      <c r="A24">
        <v>23</v>
      </c>
      <c r="B24" t="s">
        <v>19</v>
      </c>
      <c r="C24" t="s">
        <v>9</v>
      </c>
      <c r="D24" s="3">
        <v>209467</v>
      </c>
      <c r="E24" s="1" t="s">
        <v>33</v>
      </c>
    </row>
    <row r="25" spans="1:5" x14ac:dyDescent="0.3">
      <c r="A25">
        <v>24</v>
      </c>
      <c r="B25" t="s">
        <v>5</v>
      </c>
      <c r="C25" t="s">
        <v>9</v>
      </c>
      <c r="D25" s="3">
        <v>245430</v>
      </c>
      <c r="E25" s="1" t="s">
        <v>34</v>
      </c>
    </row>
    <row r="26" spans="1:5" x14ac:dyDescent="0.3">
      <c r="A26">
        <v>25</v>
      </c>
      <c r="B26" t="s">
        <v>19</v>
      </c>
      <c r="C26" t="s">
        <v>15</v>
      </c>
      <c r="D26" s="3">
        <v>100186</v>
      </c>
      <c r="E26" s="1" t="s">
        <v>35</v>
      </c>
    </row>
    <row r="27" spans="1:5" x14ac:dyDescent="0.3">
      <c r="A27">
        <v>26</v>
      </c>
      <c r="B27" t="s">
        <v>8</v>
      </c>
      <c r="C27" t="s">
        <v>17</v>
      </c>
      <c r="D27" s="3">
        <v>85738</v>
      </c>
      <c r="E27" s="1" t="s">
        <v>36</v>
      </c>
    </row>
    <row r="28" spans="1:5" x14ac:dyDescent="0.3">
      <c r="A28">
        <v>27</v>
      </c>
      <c r="B28" t="s">
        <v>37</v>
      </c>
      <c r="C28" t="s">
        <v>15</v>
      </c>
      <c r="D28" s="3">
        <v>198519</v>
      </c>
      <c r="E28" s="1" t="s">
        <v>38</v>
      </c>
    </row>
    <row r="29" spans="1:5" x14ac:dyDescent="0.3">
      <c r="A29">
        <v>28</v>
      </c>
      <c r="B29" t="s">
        <v>8</v>
      </c>
      <c r="C29" t="s">
        <v>17</v>
      </c>
      <c r="D29" s="3">
        <v>66603</v>
      </c>
      <c r="E29" s="1" t="s">
        <v>39</v>
      </c>
    </row>
    <row r="30" spans="1:5" x14ac:dyDescent="0.3">
      <c r="A30">
        <v>29</v>
      </c>
      <c r="B30" t="s">
        <v>14</v>
      </c>
      <c r="C30" t="s">
        <v>17</v>
      </c>
      <c r="D30" s="3">
        <v>225825</v>
      </c>
      <c r="E30" s="1" t="s">
        <v>40</v>
      </c>
    </row>
    <row r="31" spans="1:5" x14ac:dyDescent="0.3">
      <c r="A31">
        <v>30</v>
      </c>
      <c r="B31" t="s">
        <v>37</v>
      </c>
      <c r="C31" t="s">
        <v>15</v>
      </c>
      <c r="D31" s="3">
        <v>124895</v>
      </c>
      <c r="E31" s="1" t="s">
        <v>41</v>
      </c>
    </row>
    <row r="32" spans="1:5" x14ac:dyDescent="0.3">
      <c r="A32">
        <v>31</v>
      </c>
      <c r="B32" t="s">
        <v>8</v>
      </c>
      <c r="C32" t="s">
        <v>15</v>
      </c>
      <c r="D32" s="3">
        <v>53831</v>
      </c>
      <c r="E32" s="1" t="s">
        <v>42</v>
      </c>
    </row>
    <row r="33" spans="1:5" x14ac:dyDescent="0.3">
      <c r="A33">
        <v>32</v>
      </c>
      <c r="B33" t="s">
        <v>5</v>
      </c>
      <c r="C33" t="s">
        <v>6</v>
      </c>
      <c r="D33" s="3">
        <v>70066</v>
      </c>
      <c r="E33" s="1" t="s">
        <v>25</v>
      </c>
    </row>
    <row r="34" spans="1:5" x14ac:dyDescent="0.3">
      <c r="A34">
        <v>33</v>
      </c>
      <c r="B34" t="s">
        <v>8</v>
      </c>
      <c r="C34" t="s">
        <v>15</v>
      </c>
      <c r="D34" s="3">
        <v>186345</v>
      </c>
      <c r="E34" s="1" t="s">
        <v>43</v>
      </c>
    </row>
    <row r="35" spans="1:5" x14ac:dyDescent="0.3">
      <c r="A35">
        <v>34</v>
      </c>
      <c r="B35" t="s">
        <v>37</v>
      </c>
      <c r="C35" t="s">
        <v>15</v>
      </c>
      <c r="D35" s="3">
        <v>186208</v>
      </c>
      <c r="E35" s="1" t="s">
        <v>44</v>
      </c>
    </row>
    <row r="36" spans="1:5" x14ac:dyDescent="0.3">
      <c r="A36">
        <v>35</v>
      </c>
      <c r="B36" t="s">
        <v>14</v>
      </c>
      <c r="C36" t="s">
        <v>17</v>
      </c>
      <c r="D36" s="3">
        <v>175024</v>
      </c>
      <c r="E36" s="1" t="s">
        <v>45</v>
      </c>
    </row>
    <row r="37" spans="1:5" x14ac:dyDescent="0.3">
      <c r="A37">
        <v>36</v>
      </c>
      <c r="B37" t="s">
        <v>5</v>
      </c>
      <c r="C37" t="s">
        <v>6</v>
      </c>
      <c r="D37" s="3">
        <v>208706</v>
      </c>
      <c r="E37" s="1" t="s">
        <v>46</v>
      </c>
    </row>
    <row r="38" spans="1:5" x14ac:dyDescent="0.3">
      <c r="A38">
        <v>37</v>
      </c>
      <c r="B38" t="s">
        <v>14</v>
      </c>
      <c r="C38" t="s">
        <v>17</v>
      </c>
      <c r="D38" s="3">
        <v>231483</v>
      </c>
      <c r="E38" s="1" t="s">
        <v>47</v>
      </c>
    </row>
    <row r="39" spans="1:5" x14ac:dyDescent="0.3">
      <c r="A39">
        <v>38</v>
      </c>
      <c r="B39" t="s">
        <v>19</v>
      </c>
      <c r="C39" t="s">
        <v>6</v>
      </c>
      <c r="D39" s="3">
        <v>106939</v>
      </c>
      <c r="E39" s="1" t="s">
        <v>48</v>
      </c>
    </row>
    <row r="40" spans="1:5" x14ac:dyDescent="0.3">
      <c r="A40">
        <v>39</v>
      </c>
      <c r="B40" t="s">
        <v>8</v>
      </c>
      <c r="C40" t="s">
        <v>15</v>
      </c>
      <c r="D40" s="3">
        <v>30850</v>
      </c>
      <c r="E40" s="1" t="s">
        <v>49</v>
      </c>
    </row>
    <row r="41" spans="1:5" x14ac:dyDescent="0.3">
      <c r="A41">
        <v>40</v>
      </c>
      <c r="B41" t="s">
        <v>19</v>
      </c>
      <c r="C41" t="s">
        <v>9</v>
      </c>
      <c r="D41" s="3">
        <v>163085</v>
      </c>
      <c r="E41" s="1" t="s">
        <v>50</v>
      </c>
    </row>
    <row r="42" spans="1:5" x14ac:dyDescent="0.3">
      <c r="A42">
        <v>41</v>
      </c>
      <c r="B42" t="s">
        <v>5</v>
      </c>
      <c r="C42" t="s">
        <v>17</v>
      </c>
      <c r="D42" s="3">
        <v>197496</v>
      </c>
      <c r="E42" s="1" t="s">
        <v>51</v>
      </c>
    </row>
    <row r="43" spans="1:5" x14ac:dyDescent="0.3">
      <c r="A43">
        <v>42</v>
      </c>
      <c r="B43" t="s">
        <v>14</v>
      </c>
      <c r="C43" t="s">
        <v>9</v>
      </c>
      <c r="D43" s="3">
        <v>70065</v>
      </c>
      <c r="E43" s="1" t="s">
        <v>52</v>
      </c>
    </row>
    <row r="44" spans="1:5" x14ac:dyDescent="0.3">
      <c r="A44">
        <v>43</v>
      </c>
      <c r="B44" t="s">
        <v>8</v>
      </c>
      <c r="C44" t="s">
        <v>6</v>
      </c>
      <c r="D44" s="3">
        <v>187009</v>
      </c>
      <c r="E44" s="1" t="s">
        <v>53</v>
      </c>
    </row>
    <row r="45" spans="1:5" x14ac:dyDescent="0.3">
      <c r="A45">
        <v>44</v>
      </c>
      <c r="B45" t="s">
        <v>37</v>
      </c>
      <c r="C45" t="s">
        <v>6</v>
      </c>
      <c r="D45" s="3">
        <v>59325</v>
      </c>
      <c r="E45" s="1" t="s">
        <v>54</v>
      </c>
    </row>
    <row r="46" spans="1:5" x14ac:dyDescent="0.3">
      <c r="A46">
        <v>45</v>
      </c>
      <c r="B46" t="s">
        <v>19</v>
      </c>
      <c r="C46" t="s">
        <v>17</v>
      </c>
      <c r="D46" s="3">
        <v>92770</v>
      </c>
      <c r="E46" s="1" t="s">
        <v>55</v>
      </c>
    </row>
    <row r="47" spans="1:5" x14ac:dyDescent="0.3">
      <c r="A47">
        <v>46</v>
      </c>
      <c r="B47" t="s">
        <v>8</v>
      </c>
      <c r="C47" t="s">
        <v>6</v>
      </c>
      <c r="D47" s="3">
        <v>52453</v>
      </c>
      <c r="E47" s="1" t="s">
        <v>56</v>
      </c>
    </row>
    <row r="48" spans="1:5" x14ac:dyDescent="0.3">
      <c r="A48">
        <v>47</v>
      </c>
      <c r="B48" t="s">
        <v>37</v>
      </c>
      <c r="C48" t="s">
        <v>6</v>
      </c>
      <c r="D48" s="3">
        <v>229387</v>
      </c>
      <c r="E48" s="1" t="s">
        <v>57</v>
      </c>
    </row>
    <row r="49" spans="1:5" x14ac:dyDescent="0.3">
      <c r="A49">
        <v>48</v>
      </c>
      <c r="B49" t="s">
        <v>8</v>
      </c>
      <c r="C49" t="s">
        <v>9</v>
      </c>
      <c r="D49" s="3">
        <v>202949</v>
      </c>
      <c r="E49" s="1" t="s">
        <v>58</v>
      </c>
    </row>
    <row r="50" spans="1:5" x14ac:dyDescent="0.3">
      <c r="A50">
        <v>49</v>
      </c>
      <c r="B50" t="s">
        <v>14</v>
      </c>
      <c r="C50" t="s">
        <v>9</v>
      </c>
      <c r="D50" s="3">
        <v>99483</v>
      </c>
      <c r="E50" s="1" t="s">
        <v>59</v>
      </c>
    </row>
    <row r="51" spans="1:5" x14ac:dyDescent="0.3">
      <c r="A51">
        <v>50</v>
      </c>
      <c r="B51" t="s">
        <v>14</v>
      </c>
      <c r="C51" t="s">
        <v>15</v>
      </c>
      <c r="D51" s="3">
        <v>85521</v>
      </c>
      <c r="E51" s="1" t="s">
        <v>54</v>
      </c>
    </row>
    <row r="52" spans="1:5" x14ac:dyDescent="0.3">
      <c r="A52">
        <v>51</v>
      </c>
      <c r="B52" t="s">
        <v>14</v>
      </c>
      <c r="C52" t="s">
        <v>9</v>
      </c>
      <c r="D52" s="3">
        <v>216895</v>
      </c>
      <c r="E52" s="1" t="s">
        <v>60</v>
      </c>
    </row>
    <row r="53" spans="1:5" x14ac:dyDescent="0.3">
      <c r="A53">
        <v>52</v>
      </c>
      <c r="B53" t="s">
        <v>37</v>
      </c>
      <c r="C53" t="s">
        <v>17</v>
      </c>
      <c r="D53" s="3">
        <v>144845</v>
      </c>
      <c r="E53" s="1" t="s">
        <v>61</v>
      </c>
    </row>
    <row r="54" spans="1:5" x14ac:dyDescent="0.3">
      <c r="A54">
        <v>53</v>
      </c>
      <c r="B54" t="s">
        <v>14</v>
      </c>
      <c r="C54" t="s">
        <v>15</v>
      </c>
      <c r="D54" s="3">
        <v>61720</v>
      </c>
      <c r="E54" s="1" t="s">
        <v>39</v>
      </c>
    </row>
    <row r="55" spans="1:5" x14ac:dyDescent="0.3">
      <c r="A55">
        <v>54</v>
      </c>
      <c r="B55" t="s">
        <v>8</v>
      </c>
      <c r="C55" t="s">
        <v>6</v>
      </c>
      <c r="D55" s="3">
        <v>118627</v>
      </c>
      <c r="E55" s="1" t="s">
        <v>62</v>
      </c>
    </row>
    <row r="56" spans="1:5" x14ac:dyDescent="0.3">
      <c r="A56">
        <v>55</v>
      </c>
      <c r="B56" t="s">
        <v>14</v>
      </c>
      <c r="C56" t="s">
        <v>9</v>
      </c>
      <c r="D56" s="3">
        <v>184256</v>
      </c>
      <c r="E56" s="1" t="s">
        <v>41</v>
      </c>
    </row>
    <row r="57" spans="1:5" x14ac:dyDescent="0.3">
      <c r="A57">
        <v>56</v>
      </c>
      <c r="B57" t="s">
        <v>5</v>
      </c>
      <c r="C57" t="s">
        <v>6</v>
      </c>
      <c r="D57" s="3">
        <v>215556</v>
      </c>
      <c r="E57" s="1" t="s">
        <v>63</v>
      </c>
    </row>
    <row r="58" spans="1:5" x14ac:dyDescent="0.3">
      <c r="A58">
        <v>57</v>
      </c>
      <c r="B58" t="s">
        <v>5</v>
      </c>
      <c r="C58" t="s">
        <v>9</v>
      </c>
      <c r="D58" s="3">
        <v>47668</v>
      </c>
      <c r="E58" s="1" t="s">
        <v>64</v>
      </c>
    </row>
    <row r="59" spans="1:5" x14ac:dyDescent="0.3">
      <c r="A59">
        <v>58</v>
      </c>
      <c r="B59" t="s">
        <v>5</v>
      </c>
      <c r="C59" t="s">
        <v>17</v>
      </c>
      <c r="D59" s="3">
        <v>48574</v>
      </c>
      <c r="E59" s="1" t="s">
        <v>65</v>
      </c>
    </row>
    <row r="60" spans="1:5" x14ac:dyDescent="0.3">
      <c r="A60">
        <v>59</v>
      </c>
      <c r="B60" t="s">
        <v>8</v>
      </c>
      <c r="C60" t="s">
        <v>17</v>
      </c>
      <c r="D60" s="3">
        <v>205368</v>
      </c>
      <c r="E60" s="1" t="s">
        <v>66</v>
      </c>
    </row>
    <row r="61" spans="1:5" x14ac:dyDescent="0.3">
      <c r="A61">
        <v>60</v>
      </c>
      <c r="B61" t="s">
        <v>8</v>
      </c>
      <c r="C61" t="s">
        <v>9</v>
      </c>
      <c r="D61" s="3">
        <v>219622</v>
      </c>
      <c r="E61" s="1" t="s">
        <v>67</v>
      </c>
    </row>
    <row r="62" spans="1:5" x14ac:dyDescent="0.3">
      <c r="A62">
        <v>61</v>
      </c>
      <c r="B62" t="s">
        <v>14</v>
      </c>
      <c r="C62" t="s">
        <v>15</v>
      </c>
      <c r="D62" s="3">
        <v>93700</v>
      </c>
      <c r="E62" s="1" t="s">
        <v>68</v>
      </c>
    </row>
    <row r="63" spans="1:5" x14ac:dyDescent="0.3">
      <c r="A63">
        <v>62</v>
      </c>
      <c r="B63" t="s">
        <v>37</v>
      </c>
      <c r="C63" t="s">
        <v>15</v>
      </c>
      <c r="D63" s="3">
        <v>79914</v>
      </c>
      <c r="E63" s="1" t="s">
        <v>69</v>
      </c>
    </row>
    <row r="64" spans="1:5" x14ac:dyDescent="0.3">
      <c r="A64">
        <v>63</v>
      </c>
      <c r="B64" t="s">
        <v>5</v>
      </c>
      <c r="C64" t="s">
        <v>15</v>
      </c>
      <c r="D64" s="3">
        <v>122876</v>
      </c>
      <c r="E64" s="1" t="s">
        <v>11</v>
      </c>
    </row>
    <row r="65" spans="1:5" x14ac:dyDescent="0.3">
      <c r="A65">
        <v>64</v>
      </c>
      <c r="B65" t="s">
        <v>37</v>
      </c>
      <c r="C65" t="s">
        <v>15</v>
      </c>
      <c r="D65" s="3">
        <v>221122</v>
      </c>
      <c r="E65" s="1" t="s">
        <v>70</v>
      </c>
    </row>
    <row r="66" spans="1:5" x14ac:dyDescent="0.3">
      <c r="A66">
        <v>65</v>
      </c>
      <c r="B66" t="s">
        <v>5</v>
      </c>
      <c r="C66" t="s">
        <v>6</v>
      </c>
      <c r="D66" s="3">
        <v>135544</v>
      </c>
      <c r="E66" s="1" t="s">
        <v>71</v>
      </c>
    </row>
    <row r="67" spans="1:5" x14ac:dyDescent="0.3">
      <c r="A67">
        <v>66</v>
      </c>
      <c r="B67" t="s">
        <v>19</v>
      </c>
      <c r="C67" t="s">
        <v>6</v>
      </c>
      <c r="D67" s="3">
        <v>95183</v>
      </c>
      <c r="E67" s="1" t="s">
        <v>26</v>
      </c>
    </row>
    <row r="68" spans="1:5" x14ac:dyDescent="0.3">
      <c r="A68">
        <v>67</v>
      </c>
      <c r="B68" t="s">
        <v>8</v>
      </c>
      <c r="C68" t="s">
        <v>15</v>
      </c>
      <c r="D68" s="3">
        <v>66747</v>
      </c>
      <c r="E68" s="1" t="s">
        <v>11</v>
      </c>
    </row>
    <row r="69" spans="1:5" x14ac:dyDescent="0.3">
      <c r="A69">
        <v>68</v>
      </c>
      <c r="B69" t="s">
        <v>8</v>
      </c>
      <c r="C69" t="s">
        <v>17</v>
      </c>
      <c r="D69" s="3">
        <v>151275</v>
      </c>
      <c r="E69" s="1" t="s">
        <v>72</v>
      </c>
    </row>
    <row r="70" spans="1:5" x14ac:dyDescent="0.3">
      <c r="A70">
        <v>69</v>
      </c>
      <c r="B70" t="s">
        <v>5</v>
      </c>
      <c r="C70" t="s">
        <v>15</v>
      </c>
      <c r="D70" s="3">
        <v>241818</v>
      </c>
      <c r="E70" s="1" t="s">
        <v>73</v>
      </c>
    </row>
    <row r="71" spans="1:5" x14ac:dyDescent="0.3">
      <c r="A71">
        <v>70</v>
      </c>
      <c r="B71" t="s">
        <v>14</v>
      </c>
      <c r="C71" t="s">
        <v>6</v>
      </c>
      <c r="D71" s="3">
        <v>43261</v>
      </c>
      <c r="E71" s="1" t="s">
        <v>74</v>
      </c>
    </row>
    <row r="72" spans="1:5" x14ac:dyDescent="0.3">
      <c r="A72">
        <v>71</v>
      </c>
      <c r="B72" t="s">
        <v>14</v>
      </c>
      <c r="C72" t="s">
        <v>6</v>
      </c>
      <c r="D72" s="3">
        <v>54448</v>
      </c>
      <c r="E72" s="1" t="s">
        <v>75</v>
      </c>
    </row>
    <row r="73" spans="1:5" x14ac:dyDescent="0.3">
      <c r="A73">
        <v>72</v>
      </c>
      <c r="B73" t="s">
        <v>8</v>
      </c>
      <c r="C73" t="s">
        <v>9</v>
      </c>
      <c r="D73" s="3">
        <v>136539</v>
      </c>
      <c r="E73" s="1" t="s">
        <v>66</v>
      </c>
    </row>
    <row r="74" spans="1:5" x14ac:dyDescent="0.3">
      <c r="A74">
        <v>73</v>
      </c>
      <c r="B74" t="s">
        <v>37</v>
      </c>
      <c r="C74" t="s">
        <v>9</v>
      </c>
      <c r="D74" s="3">
        <v>135130</v>
      </c>
      <c r="E74" s="1" t="s">
        <v>76</v>
      </c>
    </row>
    <row r="75" spans="1:5" x14ac:dyDescent="0.3">
      <c r="A75">
        <v>74</v>
      </c>
      <c r="B75" t="s">
        <v>5</v>
      </c>
      <c r="C75" t="s">
        <v>9</v>
      </c>
      <c r="D75" s="3">
        <v>129345</v>
      </c>
      <c r="E75" s="1" t="s">
        <v>77</v>
      </c>
    </row>
    <row r="76" spans="1:5" x14ac:dyDescent="0.3">
      <c r="A76">
        <v>75</v>
      </c>
      <c r="B76" t="s">
        <v>37</v>
      </c>
      <c r="C76" t="s">
        <v>17</v>
      </c>
      <c r="D76" s="3">
        <v>235539</v>
      </c>
      <c r="E76" s="1" t="s">
        <v>68</v>
      </c>
    </row>
    <row r="77" spans="1:5" x14ac:dyDescent="0.3">
      <c r="A77">
        <v>76</v>
      </c>
      <c r="B77" t="s">
        <v>37</v>
      </c>
      <c r="C77" t="s">
        <v>17</v>
      </c>
      <c r="D77" s="3">
        <v>140888</v>
      </c>
      <c r="E77" s="1" t="s">
        <v>78</v>
      </c>
    </row>
    <row r="78" spans="1:5" x14ac:dyDescent="0.3">
      <c r="A78">
        <v>77</v>
      </c>
      <c r="B78" t="s">
        <v>14</v>
      </c>
      <c r="C78" t="s">
        <v>15</v>
      </c>
      <c r="D78" s="3">
        <v>70579</v>
      </c>
      <c r="E78" s="1" t="s">
        <v>79</v>
      </c>
    </row>
    <row r="79" spans="1:5" x14ac:dyDescent="0.3">
      <c r="A79">
        <v>78</v>
      </c>
      <c r="B79" t="s">
        <v>19</v>
      </c>
      <c r="C79" t="s">
        <v>9</v>
      </c>
      <c r="D79" s="3">
        <v>45331</v>
      </c>
      <c r="E79" s="1" t="s">
        <v>80</v>
      </c>
    </row>
    <row r="80" spans="1:5" x14ac:dyDescent="0.3">
      <c r="A80">
        <v>79</v>
      </c>
      <c r="B80" t="s">
        <v>14</v>
      </c>
      <c r="C80" t="s">
        <v>6</v>
      </c>
      <c r="D80" s="3">
        <v>226077</v>
      </c>
      <c r="E80" s="1" t="s">
        <v>81</v>
      </c>
    </row>
    <row r="81" spans="1:5" x14ac:dyDescent="0.3">
      <c r="A81">
        <v>80</v>
      </c>
      <c r="B81" t="s">
        <v>5</v>
      </c>
      <c r="C81" t="s">
        <v>6</v>
      </c>
      <c r="D81" s="3">
        <v>183138</v>
      </c>
      <c r="E81" s="1" t="s">
        <v>82</v>
      </c>
    </row>
    <row r="82" spans="1:5" x14ac:dyDescent="0.3">
      <c r="A82">
        <v>81</v>
      </c>
      <c r="B82" t="s">
        <v>14</v>
      </c>
      <c r="C82" t="s">
        <v>9</v>
      </c>
      <c r="D82" s="3">
        <v>44910</v>
      </c>
      <c r="E82" s="1" t="s">
        <v>83</v>
      </c>
    </row>
    <row r="83" spans="1:5" x14ac:dyDescent="0.3">
      <c r="A83">
        <v>82</v>
      </c>
      <c r="B83" t="s">
        <v>14</v>
      </c>
      <c r="C83" t="s">
        <v>6</v>
      </c>
      <c r="D83" s="3">
        <v>78712</v>
      </c>
      <c r="E83" s="1" t="s">
        <v>84</v>
      </c>
    </row>
    <row r="84" spans="1:5" x14ac:dyDescent="0.3">
      <c r="A84">
        <v>83</v>
      </c>
      <c r="B84" t="s">
        <v>14</v>
      </c>
      <c r="C84" t="s">
        <v>6</v>
      </c>
      <c r="D84" s="3">
        <v>207002</v>
      </c>
      <c r="E84" s="1" t="s">
        <v>73</v>
      </c>
    </row>
    <row r="85" spans="1:5" x14ac:dyDescent="0.3">
      <c r="A85">
        <v>84</v>
      </c>
      <c r="B85" t="s">
        <v>8</v>
      </c>
      <c r="C85" t="s">
        <v>15</v>
      </c>
      <c r="D85" s="3">
        <v>61427</v>
      </c>
      <c r="E85" s="1" t="s">
        <v>85</v>
      </c>
    </row>
    <row r="86" spans="1:5" x14ac:dyDescent="0.3">
      <c r="A86">
        <v>85</v>
      </c>
      <c r="B86" t="s">
        <v>14</v>
      </c>
      <c r="C86" t="s">
        <v>9</v>
      </c>
      <c r="D86" s="3">
        <v>181760</v>
      </c>
      <c r="E86" s="1" t="s">
        <v>86</v>
      </c>
    </row>
    <row r="87" spans="1:5" x14ac:dyDescent="0.3">
      <c r="A87">
        <v>86</v>
      </c>
      <c r="B87" t="s">
        <v>5</v>
      </c>
      <c r="C87" t="s">
        <v>6</v>
      </c>
      <c r="D87" s="3">
        <v>139897</v>
      </c>
      <c r="E87" s="1" t="s">
        <v>87</v>
      </c>
    </row>
    <row r="88" spans="1:5" x14ac:dyDescent="0.3">
      <c r="A88">
        <v>87</v>
      </c>
      <c r="B88" t="s">
        <v>14</v>
      </c>
      <c r="C88" t="s">
        <v>17</v>
      </c>
      <c r="D88" s="3">
        <v>98358</v>
      </c>
      <c r="E88" s="1" t="s">
        <v>88</v>
      </c>
    </row>
    <row r="89" spans="1:5" x14ac:dyDescent="0.3">
      <c r="A89">
        <v>88</v>
      </c>
      <c r="B89" t="s">
        <v>19</v>
      </c>
      <c r="C89" t="s">
        <v>9</v>
      </c>
      <c r="D89" s="3">
        <v>99629</v>
      </c>
      <c r="E89" s="1" t="s">
        <v>89</v>
      </c>
    </row>
    <row r="90" spans="1:5" x14ac:dyDescent="0.3">
      <c r="A90">
        <v>89</v>
      </c>
      <c r="B90" t="s">
        <v>8</v>
      </c>
      <c r="C90" t="s">
        <v>17</v>
      </c>
      <c r="D90" s="3">
        <v>149858</v>
      </c>
      <c r="E90" s="1" t="s">
        <v>90</v>
      </c>
    </row>
    <row r="91" spans="1:5" x14ac:dyDescent="0.3">
      <c r="A91">
        <v>90</v>
      </c>
      <c r="B91" t="s">
        <v>5</v>
      </c>
      <c r="C91" t="s">
        <v>6</v>
      </c>
      <c r="D91" s="3">
        <v>150136</v>
      </c>
      <c r="E91" s="1" t="s">
        <v>91</v>
      </c>
    </row>
    <row r="92" spans="1:5" x14ac:dyDescent="0.3">
      <c r="A92">
        <v>91</v>
      </c>
      <c r="B92" t="s">
        <v>14</v>
      </c>
      <c r="C92" t="s">
        <v>6</v>
      </c>
      <c r="D92" s="3">
        <v>49204</v>
      </c>
      <c r="E92" s="1" t="s">
        <v>92</v>
      </c>
    </row>
    <row r="93" spans="1:5" x14ac:dyDescent="0.3">
      <c r="A93">
        <v>92</v>
      </c>
      <c r="B93" t="s">
        <v>8</v>
      </c>
      <c r="C93" t="s">
        <v>17</v>
      </c>
      <c r="D93" s="3">
        <v>64722</v>
      </c>
      <c r="E93" s="1" t="s">
        <v>93</v>
      </c>
    </row>
    <row r="94" spans="1:5" x14ac:dyDescent="0.3">
      <c r="A94">
        <v>93</v>
      </c>
      <c r="B94" t="s">
        <v>19</v>
      </c>
      <c r="C94" t="s">
        <v>6</v>
      </c>
      <c r="D94" s="3">
        <v>94037</v>
      </c>
      <c r="E94" s="1" t="s">
        <v>94</v>
      </c>
    </row>
    <row r="95" spans="1:5" x14ac:dyDescent="0.3">
      <c r="A95">
        <v>94</v>
      </c>
      <c r="B95" t="s">
        <v>19</v>
      </c>
      <c r="C95" t="s">
        <v>9</v>
      </c>
      <c r="D95" s="3">
        <v>144867</v>
      </c>
      <c r="E95" s="1" t="s">
        <v>95</v>
      </c>
    </row>
    <row r="96" spans="1:5" x14ac:dyDescent="0.3">
      <c r="A96">
        <v>95</v>
      </c>
      <c r="B96" t="s">
        <v>14</v>
      </c>
      <c r="C96" t="s">
        <v>17</v>
      </c>
      <c r="D96" s="3">
        <v>190347</v>
      </c>
      <c r="E96" s="1" t="s">
        <v>96</v>
      </c>
    </row>
    <row r="97" spans="1:5" x14ac:dyDescent="0.3">
      <c r="A97">
        <v>96</v>
      </c>
      <c r="B97" t="s">
        <v>14</v>
      </c>
      <c r="C97" t="s">
        <v>6</v>
      </c>
      <c r="D97" s="3">
        <v>205076</v>
      </c>
      <c r="E97" s="1" t="s">
        <v>97</v>
      </c>
    </row>
    <row r="98" spans="1:5" x14ac:dyDescent="0.3">
      <c r="A98">
        <v>97</v>
      </c>
      <c r="B98" t="s">
        <v>14</v>
      </c>
      <c r="C98" t="s">
        <v>17</v>
      </c>
      <c r="D98" s="3">
        <v>203903</v>
      </c>
      <c r="E98" s="1" t="s">
        <v>98</v>
      </c>
    </row>
    <row r="99" spans="1:5" x14ac:dyDescent="0.3">
      <c r="A99">
        <v>98</v>
      </c>
      <c r="B99" t="s">
        <v>8</v>
      </c>
      <c r="C99" t="s">
        <v>17</v>
      </c>
      <c r="D99" s="3">
        <v>60258</v>
      </c>
      <c r="E99" s="1" t="s">
        <v>99</v>
      </c>
    </row>
    <row r="100" spans="1:5" x14ac:dyDescent="0.3">
      <c r="A100">
        <v>99</v>
      </c>
      <c r="B100" t="s">
        <v>5</v>
      </c>
      <c r="C100" t="s">
        <v>9</v>
      </c>
      <c r="D100" s="3">
        <v>101394</v>
      </c>
      <c r="E100" s="1" t="s">
        <v>100</v>
      </c>
    </row>
    <row r="101" spans="1:5" x14ac:dyDescent="0.3">
      <c r="A101">
        <v>100</v>
      </c>
      <c r="B101" t="s">
        <v>14</v>
      </c>
      <c r="C101" t="s">
        <v>9</v>
      </c>
      <c r="D101" s="3">
        <v>218117</v>
      </c>
      <c r="E101" s="1" t="s">
        <v>101</v>
      </c>
    </row>
    <row r="102" spans="1:5" x14ac:dyDescent="0.3">
      <c r="A102">
        <v>101</v>
      </c>
      <c r="B102" t="s">
        <v>8</v>
      </c>
      <c r="C102" t="s">
        <v>17</v>
      </c>
      <c r="D102" s="3">
        <v>162489</v>
      </c>
      <c r="E102" s="1" t="s">
        <v>102</v>
      </c>
    </row>
    <row r="103" spans="1:5" x14ac:dyDescent="0.3">
      <c r="A103">
        <v>102</v>
      </c>
      <c r="B103" t="s">
        <v>19</v>
      </c>
      <c r="C103" t="s">
        <v>6</v>
      </c>
      <c r="D103" s="3">
        <v>54195</v>
      </c>
      <c r="E103" s="1" t="s">
        <v>103</v>
      </c>
    </row>
    <row r="104" spans="1:5" x14ac:dyDescent="0.3">
      <c r="A104">
        <v>103</v>
      </c>
      <c r="B104" t="s">
        <v>37</v>
      </c>
      <c r="C104" t="s">
        <v>17</v>
      </c>
      <c r="D104" s="3">
        <v>41557</v>
      </c>
      <c r="E104" s="1" t="s">
        <v>77</v>
      </c>
    </row>
    <row r="105" spans="1:5" x14ac:dyDescent="0.3">
      <c r="A105">
        <v>104</v>
      </c>
      <c r="B105" t="s">
        <v>19</v>
      </c>
      <c r="C105" t="s">
        <v>9</v>
      </c>
      <c r="D105" s="3">
        <v>197015</v>
      </c>
      <c r="E105" s="1" t="s">
        <v>104</v>
      </c>
    </row>
    <row r="106" spans="1:5" x14ac:dyDescent="0.3">
      <c r="A106">
        <v>105</v>
      </c>
      <c r="B106" t="s">
        <v>8</v>
      </c>
      <c r="C106" t="s">
        <v>15</v>
      </c>
      <c r="D106" s="3">
        <v>174619</v>
      </c>
      <c r="E106" s="1" t="s">
        <v>105</v>
      </c>
    </row>
    <row r="107" spans="1:5" x14ac:dyDescent="0.3">
      <c r="A107">
        <v>106</v>
      </c>
      <c r="B107" t="s">
        <v>37</v>
      </c>
      <c r="C107" t="s">
        <v>6</v>
      </c>
      <c r="D107" s="3">
        <v>59327</v>
      </c>
      <c r="E107" s="1" t="s">
        <v>106</v>
      </c>
    </row>
    <row r="108" spans="1:5" x14ac:dyDescent="0.3">
      <c r="A108">
        <v>107</v>
      </c>
      <c r="B108" t="s">
        <v>8</v>
      </c>
      <c r="C108" t="s">
        <v>6</v>
      </c>
      <c r="D108" s="3">
        <v>248784</v>
      </c>
      <c r="E108" s="1" t="s">
        <v>94</v>
      </c>
    </row>
    <row r="109" spans="1:5" x14ac:dyDescent="0.3">
      <c r="A109">
        <v>108</v>
      </c>
      <c r="B109" t="s">
        <v>14</v>
      </c>
      <c r="C109" t="s">
        <v>9</v>
      </c>
      <c r="D109" s="3">
        <v>142666</v>
      </c>
      <c r="E109" s="1" t="s">
        <v>107</v>
      </c>
    </row>
    <row r="110" spans="1:5" x14ac:dyDescent="0.3">
      <c r="A110">
        <v>109</v>
      </c>
      <c r="B110" t="s">
        <v>5</v>
      </c>
      <c r="C110" t="s">
        <v>17</v>
      </c>
      <c r="D110" s="3">
        <v>125591</v>
      </c>
      <c r="E110" s="1" t="s">
        <v>61</v>
      </c>
    </row>
    <row r="111" spans="1:5" x14ac:dyDescent="0.3">
      <c r="A111">
        <v>110</v>
      </c>
      <c r="B111" t="s">
        <v>5</v>
      </c>
      <c r="C111" t="s">
        <v>17</v>
      </c>
      <c r="D111" s="3">
        <v>85070</v>
      </c>
      <c r="E111" s="1" t="s">
        <v>108</v>
      </c>
    </row>
    <row r="112" spans="1:5" x14ac:dyDescent="0.3">
      <c r="A112">
        <v>111</v>
      </c>
      <c r="B112" t="s">
        <v>8</v>
      </c>
      <c r="C112" t="s">
        <v>6</v>
      </c>
      <c r="D112" s="3">
        <v>122714</v>
      </c>
      <c r="E112" s="1" t="s">
        <v>109</v>
      </c>
    </row>
    <row r="113" spans="1:5" x14ac:dyDescent="0.3">
      <c r="A113">
        <v>112</v>
      </c>
      <c r="B113" t="s">
        <v>14</v>
      </c>
      <c r="C113" t="s">
        <v>15</v>
      </c>
      <c r="D113" s="3">
        <v>192702</v>
      </c>
      <c r="E113" s="1" t="s">
        <v>110</v>
      </c>
    </row>
    <row r="114" spans="1:5" x14ac:dyDescent="0.3">
      <c r="A114">
        <v>113</v>
      </c>
      <c r="B114" t="s">
        <v>8</v>
      </c>
      <c r="C114" t="s">
        <v>9</v>
      </c>
      <c r="D114" s="3">
        <v>72598</v>
      </c>
      <c r="E114" s="1" t="s">
        <v>111</v>
      </c>
    </row>
    <row r="115" spans="1:5" x14ac:dyDescent="0.3">
      <c r="A115">
        <v>114</v>
      </c>
      <c r="B115" t="s">
        <v>8</v>
      </c>
      <c r="C115" t="s">
        <v>15</v>
      </c>
      <c r="D115" s="3">
        <v>36497</v>
      </c>
      <c r="E115" s="1" t="s">
        <v>112</v>
      </c>
    </row>
    <row r="116" spans="1:5" x14ac:dyDescent="0.3">
      <c r="A116">
        <v>115</v>
      </c>
      <c r="B116" t="s">
        <v>19</v>
      </c>
      <c r="C116" t="s">
        <v>15</v>
      </c>
      <c r="D116" s="3">
        <v>240301</v>
      </c>
      <c r="E116" s="1" t="s">
        <v>113</v>
      </c>
    </row>
    <row r="117" spans="1:5" x14ac:dyDescent="0.3">
      <c r="A117">
        <v>116</v>
      </c>
      <c r="B117" t="s">
        <v>8</v>
      </c>
      <c r="C117" t="s">
        <v>17</v>
      </c>
      <c r="D117" s="3">
        <v>71732</v>
      </c>
      <c r="E117" s="1" t="s">
        <v>114</v>
      </c>
    </row>
    <row r="118" spans="1:5" x14ac:dyDescent="0.3">
      <c r="A118">
        <v>117</v>
      </c>
      <c r="B118" t="s">
        <v>5</v>
      </c>
      <c r="C118" t="s">
        <v>15</v>
      </c>
      <c r="D118" s="3">
        <v>40151</v>
      </c>
      <c r="E118" s="1" t="s">
        <v>115</v>
      </c>
    </row>
    <row r="119" spans="1:5" x14ac:dyDescent="0.3">
      <c r="A119">
        <v>118</v>
      </c>
      <c r="B119" t="s">
        <v>37</v>
      </c>
      <c r="C119" t="s">
        <v>9</v>
      </c>
      <c r="D119" s="3">
        <v>82316</v>
      </c>
      <c r="E119" s="1" t="s">
        <v>97</v>
      </c>
    </row>
    <row r="120" spans="1:5" x14ac:dyDescent="0.3">
      <c r="A120">
        <v>119</v>
      </c>
      <c r="B120" t="s">
        <v>37</v>
      </c>
      <c r="C120" t="s">
        <v>17</v>
      </c>
      <c r="D120" s="3">
        <v>110003</v>
      </c>
      <c r="E120" s="1" t="s">
        <v>116</v>
      </c>
    </row>
    <row r="121" spans="1:5" x14ac:dyDescent="0.3">
      <c r="A121">
        <v>120</v>
      </c>
      <c r="B121" t="s">
        <v>8</v>
      </c>
      <c r="C121" t="s">
        <v>9</v>
      </c>
      <c r="D121" s="3">
        <v>36203</v>
      </c>
      <c r="E121" s="1" t="s">
        <v>117</v>
      </c>
    </row>
    <row r="122" spans="1:5" x14ac:dyDescent="0.3">
      <c r="A122">
        <v>121</v>
      </c>
      <c r="B122" t="s">
        <v>8</v>
      </c>
      <c r="C122" t="s">
        <v>15</v>
      </c>
      <c r="D122" s="3">
        <v>116051</v>
      </c>
      <c r="E122" s="1" t="s">
        <v>118</v>
      </c>
    </row>
    <row r="123" spans="1:5" x14ac:dyDescent="0.3">
      <c r="A123">
        <v>122</v>
      </c>
      <c r="B123" t="s">
        <v>5</v>
      </c>
      <c r="C123" t="s">
        <v>17</v>
      </c>
      <c r="D123" s="3">
        <v>122050</v>
      </c>
      <c r="E123" s="1" t="s">
        <v>47</v>
      </c>
    </row>
    <row r="124" spans="1:5" x14ac:dyDescent="0.3">
      <c r="A124">
        <v>123</v>
      </c>
      <c r="B124" t="s">
        <v>14</v>
      </c>
      <c r="C124" t="s">
        <v>15</v>
      </c>
      <c r="D124" s="3">
        <v>208131</v>
      </c>
      <c r="E124" s="1" t="s">
        <v>119</v>
      </c>
    </row>
    <row r="125" spans="1:5" x14ac:dyDescent="0.3">
      <c r="A125">
        <v>124</v>
      </c>
      <c r="B125" t="s">
        <v>14</v>
      </c>
      <c r="C125" t="s">
        <v>17</v>
      </c>
      <c r="D125" s="3">
        <v>37235</v>
      </c>
      <c r="E125" s="1" t="s">
        <v>120</v>
      </c>
    </row>
    <row r="126" spans="1:5" x14ac:dyDescent="0.3">
      <c r="A126">
        <v>125</v>
      </c>
      <c r="B126" t="s">
        <v>19</v>
      </c>
      <c r="C126" t="s">
        <v>9</v>
      </c>
      <c r="D126" s="3">
        <v>182198</v>
      </c>
      <c r="E126" s="1" t="s">
        <v>121</v>
      </c>
    </row>
    <row r="127" spans="1:5" x14ac:dyDescent="0.3">
      <c r="A127">
        <v>126</v>
      </c>
      <c r="B127" t="s">
        <v>19</v>
      </c>
      <c r="C127" t="s">
        <v>6</v>
      </c>
      <c r="D127" s="3">
        <v>58417</v>
      </c>
      <c r="E127" s="1" t="s">
        <v>122</v>
      </c>
    </row>
    <row r="128" spans="1:5" x14ac:dyDescent="0.3">
      <c r="A128">
        <v>127</v>
      </c>
      <c r="B128" t="s">
        <v>37</v>
      </c>
      <c r="C128" t="s">
        <v>17</v>
      </c>
      <c r="D128" s="3">
        <v>220983</v>
      </c>
      <c r="E128" s="1" t="s">
        <v>123</v>
      </c>
    </row>
    <row r="129" spans="1:5" x14ac:dyDescent="0.3">
      <c r="A129">
        <v>128</v>
      </c>
      <c r="B129" t="s">
        <v>19</v>
      </c>
      <c r="C129" t="s">
        <v>15</v>
      </c>
      <c r="D129" s="3">
        <v>188914</v>
      </c>
      <c r="E129" s="1" t="s">
        <v>124</v>
      </c>
    </row>
    <row r="130" spans="1:5" x14ac:dyDescent="0.3">
      <c r="A130">
        <v>129</v>
      </c>
      <c r="B130" t="s">
        <v>5</v>
      </c>
      <c r="C130" t="s">
        <v>15</v>
      </c>
      <c r="D130" s="3">
        <v>181149</v>
      </c>
      <c r="E130" s="1" t="s">
        <v>79</v>
      </c>
    </row>
    <row r="131" spans="1:5" x14ac:dyDescent="0.3">
      <c r="A131">
        <v>130</v>
      </c>
      <c r="B131" t="s">
        <v>19</v>
      </c>
      <c r="C131" t="s">
        <v>6</v>
      </c>
      <c r="D131" s="3">
        <v>215803</v>
      </c>
      <c r="E131" s="1" t="s">
        <v>125</v>
      </c>
    </row>
    <row r="132" spans="1:5" x14ac:dyDescent="0.3">
      <c r="A132">
        <v>131</v>
      </c>
      <c r="B132" t="s">
        <v>5</v>
      </c>
      <c r="C132" t="s">
        <v>9</v>
      </c>
      <c r="D132" s="3">
        <v>125478</v>
      </c>
      <c r="E132" s="1" t="s">
        <v>126</v>
      </c>
    </row>
    <row r="133" spans="1:5" x14ac:dyDescent="0.3">
      <c r="A133">
        <v>132</v>
      </c>
      <c r="B133" t="s">
        <v>5</v>
      </c>
      <c r="C133" t="s">
        <v>17</v>
      </c>
      <c r="D133" s="3">
        <v>193356</v>
      </c>
      <c r="E133" s="1" t="s">
        <v>81</v>
      </c>
    </row>
    <row r="134" spans="1:5" x14ac:dyDescent="0.3">
      <c r="A134">
        <v>133</v>
      </c>
      <c r="B134" t="s">
        <v>5</v>
      </c>
      <c r="C134" t="s">
        <v>17</v>
      </c>
      <c r="D134" s="3">
        <v>162939</v>
      </c>
      <c r="E134" s="1" t="s">
        <v>127</v>
      </c>
    </row>
    <row r="135" spans="1:5" x14ac:dyDescent="0.3">
      <c r="A135">
        <v>134</v>
      </c>
      <c r="B135" t="s">
        <v>37</v>
      </c>
      <c r="C135" t="s">
        <v>17</v>
      </c>
      <c r="D135" s="3">
        <v>135486</v>
      </c>
      <c r="E135" s="1" t="s">
        <v>78</v>
      </c>
    </row>
    <row r="136" spans="1:5" x14ac:dyDescent="0.3">
      <c r="A136">
        <v>135</v>
      </c>
      <c r="B136" t="s">
        <v>19</v>
      </c>
      <c r="C136" t="s">
        <v>9</v>
      </c>
      <c r="D136" s="3">
        <v>80289</v>
      </c>
      <c r="E136" s="1" t="s">
        <v>128</v>
      </c>
    </row>
    <row r="137" spans="1:5" x14ac:dyDescent="0.3">
      <c r="A137">
        <v>136</v>
      </c>
      <c r="B137" t="s">
        <v>37</v>
      </c>
      <c r="C137" t="s">
        <v>9</v>
      </c>
      <c r="D137" s="3">
        <v>191353</v>
      </c>
      <c r="E137" s="1" t="s">
        <v>129</v>
      </c>
    </row>
    <row r="138" spans="1:5" x14ac:dyDescent="0.3">
      <c r="A138">
        <v>137</v>
      </c>
      <c r="B138" t="s">
        <v>19</v>
      </c>
      <c r="C138" t="s">
        <v>15</v>
      </c>
      <c r="D138" s="3">
        <v>173638</v>
      </c>
      <c r="E138" s="1" t="s">
        <v>95</v>
      </c>
    </row>
    <row r="139" spans="1:5" x14ac:dyDescent="0.3">
      <c r="A139">
        <v>138</v>
      </c>
      <c r="B139" t="s">
        <v>5</v>
      </c>
      <c r="C139" t="s">
        <v>17</v>
      </c>
      <c r="D139" s="3">
        <v>105212</v>
      </c>
      <c r="E139" s="1" t="s">
        <v>130</v>
      </c>
    </row>
    <row r="140" spans="1:5" x14ac:dyDescent="0.3">
      <c r="A140">
        <v>139</v>
      </c>
      <c r="B140" t="s">
        <v>37</v>
      </c>
      <c r="C140" t="s">
        <v>17</v>
      </c>
      <c r="D140" s="3">
        <v>151893</v>
      </c>
      <c r="E140" s="1" t="s">
        <v>131</v>
      </c>
    </row>
    <row r="141" spans="1:5" x14ac:dyDescent="0.3">
      <c r="A141">
        <v>140</v>
      </c>
      <c r="B141" t="s">
        <v>37</v>
      </c>
      <c r="C141" t="s">
        <v>9</v>
      </c>
      <c r="D141" s="3">
        <v>164001</v>
      </c>
      <c r="E141" s="1" t="s">
        <v>132</v>
      </c>
    </row>
    <row r="142" spans="1:5" x14ac:dyDescent="0.3">
      <c r="A142">
        <v>141</v>
      </c>
      <c r="B142" t="s">
        <v>8</v>
      </c>
      <c r="C142" t="s">
        <v>6</v>
      </c>
      <c r="D142" s="3">
        <v>104392</v>
      </c>
      <c r="E142" s="1" t="s">
        <v>65</v>
      </c>
    </row>
    <row r="143" spans="1:5" x14ac:dyDescent="0.3">
      <c r="A143">
        <v>142</v>
      </c>
      <c r="B143" t="s">
        <v>14</v>
      </c>
      <c r="C143" t="s">
        <v>17</v>
      </c>
      <c r="D143" s="3">
        <v>54480</v>
      </c>
      <c r="E143" s="1" t="s">
        <v>133</v>
      </c>
    </row>
    <row r="144" spans="1:5" x14ac:dyDescent="0.3">
      <c r="A144">
        <v>143</v>
      </c>
      <c r="B144" t="s">
        <v>8</v>
      </c>
      <c r="C144" t="s">
        <v>17</v>
      </c>
      <c r="D144" s="3">
        <v>88888</v>
      </c>
      <c r="E144" s="1" t="s">
        <v>134</v>
      </c>
    </row>
    <row r="145" spans="1:5" x14ac:dyDescent="0.3">
      <c r="A145">
        <v>144</v>
      </c>
      <c r="B145" t="s">
        <v>8</v>
      </c>
      <c r="C145" t="s">
        <v>9</v>
      </c>
      <c r="D145" s="3">
        <v>36402</v>
      </c>
      <c r="E145" s="1" t="s">
        <v>135</v>
      </c>
    </row>
    <row r="146" spans="1:5" x14ac:dyDescent="0.3">
      <c r="A146">
        <v>145</v>
      </c>
      <c r="B146" t="s">
        <v>8</v>
      </c>
      <c r="C146" t="s">
        <v>15</v>
      </c>
      <c r="D146" s="3">
        <v>190241</v>
      </c>
      <c r="E146" s="1" t="s">
        <v>136</v>
      </c>
    </row>
    <row r="147" spans="1:5" x14ac:dyDescent="0.3">
      <c r="A147">
        <v>146</v>
      </c>
      <c r="B147" t="s">
        <v>5</v>
      </c>
      <c r="C147" t="s">
        <v>15</v>
      </c>
      <c r="D147" s="3">
        <v>138643</v>
      </c>
      <c r="E147" s="1" t="s">
        <v>46</v>
      </c>
    </row>
    <row r="148" spans="1:5" x14ac:dyDescent="0.3">
      <c r="A148">
        <v>147</v>
      </c>
      <c r="B148" t="s">
        <v>14</v>
      </c>
      <c r="C148" t="s">
        <v>9</v>
      </c>
      <c r="D148" s="3">
        <v>218310</v>
      </c>
      <c r="E148" s="1" t="s">
        <v>78</v>
      </c>
    </row>
    <row r="149" spans="1:5" x14ac:dyDescent="0.3">
      <c r="A149">
        <v>148</v>
      </c>
      <c r="B149" t="s">
        <v>37</v>
      </c>
      <c r="C149" t="s">
        <v>15</v>
      </c>
      <c r="D149" s="3">
        <v>134766</v>
      </c>
      <c r="E149" s="1" t="s">
        <v>137</v>
      </c>
    </row>
    <row r="150" spans="1:5" x14ac:dyDescent="0.3">
      <c r="A150">
        <v>149</v>
      </c>
      <c r="B150" t="s">
        <v>8</v>
      </c>
      <c r="C150" t="s">
        <v>6</v>
      </c>
      <c r="D150" s="3">
        <v>226860</v>
      </c>
      <c r="E150" s="1" t="s">
        <v>45</v>
      </c>
    </row>
    <row r="151" spans="1:5" x14ac:dyDescent="0.3">
      <c r="A151">
        <v>150</v>
      </c>
      <c r="B151" t="s">
        <v>5</v>
      </c>
      <c r="C151" t="s">
        <v>15</v>
      </c>
      <c r="D151" s="3">
        <v>87367</v>
      </c>
      <c r="E151" s="1" t="s">
        <v>138</v>
      </c>
    </row>
    <row r="152" spans="1:5" x14ac:dyDescent="0.3">
      <c r="A152">
        <v>151</v>
      </c>
      <c r="B152" t="s">
        <v>14</v>
      </c>
      <c r="C152" t="s">
        <v>15</v>
      </c>
      <c r="D152" s="3">
        <v>43164</v>
      </c>
      <c r="E152" s="1" t="s">
        <v>139</v>
      </c>
    </row>
    <row r="153" spans="1:5" x14ac:dyDescent="0.3">
      <c r="A153">
        <v>152</v>
      </c>
      <c r="B153" t="s">
        <v>8</v>
      </c>
      <c r="C153" t="s">
        <v>6</v>
      </c>
      <c r="D153" s="3">
        <v>149658</v>
      </c>
      <c r="E153" s="1" t="s">
        <v>140</v>
      </c>
    </row>
    <row r="154" spans="1:5" x14ac:dyDescent="0.3">
      <c r="A154">
        <v>153</v>
      </c>
      <c r="B154" t="s">
        <v>37</v>
      </c>
      <c r="C154" t="s">
        <v>17</v>
      </c>
      <c r="D154" s="3">
        <v>227984</v>
      </c>
      <c r="E154" s="1" t="s">
        <v>141</v>
      </c>
    </row>
    <row r="155" spans="1:5" x14ac:dyDescent="0.3">
      <c r="A155">
        <v>154</v>
      </c>
      <c r="B155" t="s">
        <v>37</v>
      </c>
      <c r="C155" t="s">
        <v>15</v>
      </c>
      <c r="D155" s="3">
        <v>247728</v>
      </c>
      <c r="E155" s="1" t="s">
        <v>142</v>
      </c>
    </row>
    <row r="156" spans="1:5" x14ac:dyDescent="0.3">
      <c r="A156">
        <v>155</v>
      </c>
      <c r="B156" t="s">
        <v>14</v>
      </c>
      <c r="C156" t="s">
        <v>15</v>
      </c>
      <c r="D156" s="3">
        <v>71722</v>
      </c>
      <c r="E156" s="1" t="s">
        <v>143</v>
      </c>
    </row>
    <row r="157" spans="1:5" x14ac:dyDescent="0.3">
      <c r="A157">
        <v>156</v>
      </c>
      <c r="B157" t="s">
        <v>37</v>
      </c>
      <c r="C157" t="s">
        <v>15</v>
      </c>
      <c r="D157" s="3">
        <v>97945</v>
      </c>
      <c r="E157" s="1" t="s">
        <v>144</v>
      </c>
    </row>
    <row r="158" spans="1:5" x14ac:dyDescent="0.3">
      <c r="A158">
        <v>157</v>
      </c>
      <c r="B158" t="s">
        <v>8</v>
      </c>
      <c r="C158" t="s">
        <v>17</v>
      </c>
      <c r="D158" s="3">
        <v>230753</v>
      </c>
      <c r="E158" s="1" t="s">
        <v>145</v>
      </c>
    </row>
    <row r="159" spans="1:5" x14ac:dyDescent="0.3">
      <c r="A159">
        <v>158</v>
      </c>
      <c r="B159" t="s">
        <v>14</v>
      </c>
      <c r="C159" t="s">
        <v>15</v>
      </c>
      <c r="D159" s="3">
        <v>194298</v>
      </c>
      <c r="E159" s="1" t="s">
        <v>146</v>
      </c>
    </row>
    <row r="160" spans="1:5" x14ac:dyDescent="0.3">
      <c r="A160">
        <v>159</v>
      </c>
      <c r="B160" t="s">
        <v>19</v>
      </c>
      <c r="C160" t="s">
        <v>15</v>
      </c>
      <c r="D160" s="3">
        <v>50311</v>
      </c>
      <c r="E160" s="1" t="s">
        <v>147</v>
      </c>
    </row>
    <row r="161" spans="1:5" x14ac:dyDescent="0.3">
      <c r="A161">
        <v>160</v>
      </c>
      <c r="B161" t="s">
        <v>19</v>
      </c>
      <c r="C161" t="s">
        <v>9</v>
      </c>
      <c r="D161" s="3">
        <v>101228</v>
      </c>
      <c r="E161" s="1" t="s">
        <v>148</v>
      </c>
    </row>
    <row r="162" spans="1:5" x14ac:dyDescent="0.3">
      <c r="A162">
        <v>161</v>
      </c>
      <c r="B162" t="s">
        <v>19</v>
      </c>
      <c r="C162" t="s">
        <v>6</v>
      </c>
      <c r="D162" s="3">
        <v>66273</v>
      </c>
      <c r="E162" s="1" t="s">
        <v>149</v>
      </c>
    </row>
    <row r="163" spans="1:5" x14ac:dyDescent="0.3">
      <c r="A163">
        <v>162</v>
      </c>
      <c r="B163" t="s">
        <v>8</v>
      </c>
      <c r="C163" t="s">
        <v>15</v>
      </c>
      <c r="D163" s="3">
        <v>211914</v>
      </c>
      <c r="E163" s="1" t="s">
        <v>150</v>
      </c>
    </row>
    <row r="164" spans="1:5" x14ac:dyDescent="0.3">
      <c r="A164">
        <v>163</v>
      </c>
      <c r="B164" t="s">
        <v>8</v>
      </c>
      <c r="C164" t="s">
        <v>6</v>
      </c>
      <c r="D164" s="3">
        <v>138755</v>
      </c>
      <c r="E164" s="1" t="s">
        <v>151</v>
      </c>
    </row>
    <row r="165" spans="1:5" x14ac:dyDescent="0.3">
      <c r="A165">
        <v>164</v>
      </c>
      <c r="B165" t="s">
        <v>19</v>
      </c>
      <c r="C165" t="s">
        <v>15</v>
      </c>
      <c r="D165" s="3">
        <v>138992</v>
      </c>
      <c r="E165" s="1" t="s">
        <v>152</v>
      </c>
    </row>
    <row r="166" spans="1:5" x14ac:dyDescent="0.3">
      <c r="A166">
        <v>165</v>
      </c>
      <c r="B166" t="s">
        <v>8</v>
      </c>
      <c r="C166" t="s">
        <v>15</v>
      </c>
      <c r="D166" s="3">
        <v>132099</v>
      </c>
      <c r="E166" s="1" t="s">
        <v>64</v>
      </c>
    </row>
    <row r="167" spans="1:5" x14ac:dyDescent="0.3">
      <c r="A167">
        <v>166</v>
      </c>
      <c r="B167" t="s">
        <v>14</v>
      </c>
      <c r="C167" t="s">
        <v>6</v>
      </c>
      <c r="D167" s="3">
        <v>230696</v>
      </c>
      <c r="E167" s="1" t="s">
        <v>153</v>
      </c>
    </row>
    <row r="168" spans="1:5" x14ac:dyDescent="0.3">
      <c r="A168">
        <v>167</v>
      </c>
      <c r="B168" t="s">
        <v>37</v>
      </c>
      <c r="C168" t="s">
        <v>15</v>
      </c>
      <c r="D168" s="3">
        <v>31545</v>
      </c>
      <c r="E168" s="1" t="s">
        <v>85</v>
      </c>
    </row>
    <row r="169" spans="1:5" x14ac:dyDescent="0.3">
      <c r="A169">
        <v>168</v>
      </c>
      <c r="B169" t="s">
        <v>19</v>
      </c>
      <c r="C169" t="s">
        <v>17</v>
      </c>
      <c r="D169" s="3">
        <v>227518</v>
      </c>
      <c r="E169" s="1" t="s">
        <v>154</v>
      </c>
    </row>
    <row r="170" spans="1:5" x14ac:dyDescent="0.3">
      <c r="A170">
        <v>169</v>
      </c>
      <c r="B170" t="s">
        <v>37</v>
      </c>
      <c r="C170" t="s">
        <v>9</v>
      </c>
      <c r="D170" s="3">
        <v>157986</v>
      </c>
      <c r="E170" s="1" t="s">
        <v>41</v>
      </c>
    </row>
    <row r="171" spans="1:5" x14ac:dyDescent="0.3">
      <c r="A171">
        <v>170</v>
      </c>
      <c r="B171" t="s">
        <v>19</v>
      </c>
      <c r="C171" t="s">
        <v>15</v>
      </c>
      <c r="D171" s="3">
        <v>157308</v>
      </c>
      <c r="E171" s="1" t="s">
        <v>155</v>
      </c>
    </row>
    <row r="172" spans="1:5" x14ac:dyDescent="0.3">
      <c r="A172">
        <v>171</v>
      </c>
      <c r="B172" t="s">
        <v>37</v>
      </c>
      <c r="C172" t="s">
        <v>17</v>
      </c>
      <c r="D172" s="3">
        <v>205341</v>
      </c>
      <c r="E172" s="1" t="s">
        <v>156</v>
      </c>
    </row>
    <row r="173" spans="1:5" x14ac:dyDescent="0.3">
      <c r="A173">
        <v>172</v>
      </c>
      <c r="B173" t="s">
        <v>37</v>
      </c>
      <c r="C173" t="s">
        <v>9</v>
      </c>
      <c r="D173" s="3">
        <v>152523</v>
      </c>
      <c r="E173" s="1" t="s">
        <v>157</v>
      </c>
    </row>
    <row r="174" spans="1:5" x14ac:dyDescent="0.3">
      <c r="A174">
        <v>173</v>
      </c>
      <c r="B174" t="s">
        <v>8</v>
      </c>
      <c r="C174" t="s">
        <v>6</v>
      </c>
      <c r="D174" s="3">
        <v>133290</v>
      </c>
      <c r="E174" s="1" t="s">
        <v>158</v>
      </c>
    </row>
    <row r="175" spans="1:5" x14ac:dyDescent="0.3">
      <c r="A175">
        <v>174</v>
      </c>
      <c r="B175" t="s">
        <v>14</v>
      </c>
      <c r="C175" t="s">
        <v>6</v>
      </c>
      <c r="D175" s="3">
        <v>52006</v>
      </c>
      <c r="E175" s="1" t="s">
        <v>159</v>
      </c>
    </row>
    <row r="176" spans="1:5" x14ac:dyDescent="0.3">
      <c r="A176">
        <v>175</v>
      </c>
      <c r="B176" t="s">
        <v>37</v>
      </c>
      <c r="C176" t="s">
        <v>9</v>
      </c>
      <c r="D176" s="3">
        <v>151031</v>
      </c>
      <c r="E176" s="1" t="s">
        <v>160</v>
      </c>
    </row>
    <row r="177" spans="1:5" x14ac:dyDescent="0.3">
      <c r="A177">
        <v>176</v>
      </c>
      <c r="B177" t="s">
        <v>5</v>
      </c>
      <c r="C177" t="s">
        <v>17</v>
      </c>
      <c r="D177" s="3">
        <v>129379</v>
      </c>
      <c r="E177" s="1" t="s">
        <v>161</v>
      </c>
    </row>
    <row r="178" spans="1:5" x14ac:dyDescent="0.3">
      <c r="A178">
        <v>177</v>
      </c>
      <c r="B178" t="s">
        <v>8</v>
      </c>
      <c r="C178" t="s">
        <v>15</v>
      </c>
      <c r="D178" s="3">
        <v>115680</v>
      </c>
      <c r="E178" s="1" t="s">
        <v>162</v>
      </c>
    </row>
    <row r="179" spans="1:5" x14ac:dyDescent="0.3">
      <c r="A179">
        <v>178</v>
      </c>
      <c r="B179" t="s">
        <v>37</v>
      </c>
      <c r="C179" t="s">
        <v>17</v>
      </c>
      <c r="D179" s="3">
        <v>227134</v>
      </c>
      <c r="E179" s="1" t="s">
        <v>163</v>
      </c>
    </row>
    <row r="180" spans="1:5" x14ac:dyDescent="0.3">
      <c r="A180">
        <v>179</v>
      </c>
      <c r="B180" t="s">
        <v>37</v>
      </c>
      <c r="C180" t="s">
        <v>17</v>
      </c>
      <c r="D180" s="3">
        <v>248866</v>
      </c>
      <c r="E180" s="1" t="s">
        <v>164</v>
      </c>
    </row>
    <row r="181" spans="1:5" x14ac:dyDescent="0.3">
      <c r="A181">
        <v>180</v>
      </c>
      <c r="B181" t="s">
        <v>37</v>
      </c>
      <c r="C181" t="s">
        <v>6</v>
      </c>
      <c r="D181" s="3">
        <v>226352</v>
      </c>
      <c r="E181" s="1" t="s">
        <v>165</v>
      </c>
    </row>
    <row r="182" spans="1:5" x14ac:dyDescent="0.3">
      <c r="A182">
        <v>181</v>
      </c>
      <c r="B182" t="s">
        <v>5</v>
      </c>
      <c r="C182" t="s">
        <v>17</v>
      </c>
      <c r="D182" s="3">
        <v>88778</v>
      </c>
      <c r="E182" s="1" t="s">
        <v>166</v>
      </c>
    </row>
    <row r="183" spans="1:5" x14ac:dyDescent="0.3">
      <c r="A183">
        <v>182</v>
      </c>
      <c r="B183" t="s">
        <v>5</v>
      </c>
      <c r="C183" t="s">
        <v>6</v>
      </c>
      <c r="D183" s="3">
        <v>227717</v>
      </c>
      <c r="E183" s="1" t="s">
        <v>167</v>
      </c>
    </row>
    <row r="184" spans="1:5" x14ac:dyDescent="0.3">
      <c r="A184">
        <v>183</v>
      </c>
      <c r="B184" t="s">
        <v>8</v>
      </c>
      <c r="C184" t="s">
        <v>9</v>
      </c>
      <c r="D184" s="3">
        <v>249998</v>
      </c>
      <c r="E184" s="1" t="s">
        <v>62</v>
      </c>
    </row>
    <row r="185" spans="1:5" x14ac:dyDescent="0.3">
      <c r="A185">
        <v>184</v>
      </c>
      <c r="B185" t="s">
        <v>14</v>
      </c>
      <c r="C185" t="s">
        <v>9</v>
      </c>
      <c r="D185" s="3">
        <v>92533</v>
      </c>
      <c r="E185" s="1" t="s">
        <v>168</v>
      </c>
    </row>
    <row r="186" spans="1:5" x14ac:dyDescent="0.3">
      <c r="A186">
        <v>185</v>
      </c>
      <c r="B186" t="s">
        <v>37</v>
      </c>
      <c r="C186" t="s">
        <v>6</v>
      </c>
      <c r="D186" s="3">
        <v>177841</v>
      </c>
      <c r="E186" s="1" t="s">
        <v>169</v>
      </c>
    </row>
    <row r="187" spans="1:5" x14ac:dyDescent="0.3">
      <c r="A187">
        <v>186</v>
      </c>
      <c r="B187" t="s">
        <v>8</v>
      </c>
      <c r="C187" t="s">
        <v>15</v>
      </c>
      <c r="D187" s="3">
        <v>213360</v>
      </c>
      <c r="E187" s="1" t="s">
        <v>170</v>
      </c>
    </row>
    <row r="188" spans="1:5" x14ac:dyDescent="0.3">
      <c r="A188">
        <v>187</v>
      </c>
      <c r="B188" t="s">
        <v>19</v>
      </c>
      <c r="C188" t="s">
        <v>9</v>
      </c>
      <c r="D188" s="3">
        <v>188831</v>
      </c>
      <c r="E188" s="1" t="s">
        <v>171</v>
      </c>
    </row>
    <row r="189" spans="1:5" x14ac:dyDescent="0.3">
      <c r="A189">
        <v>188</v>
      </c>
      <c r="B189" t="s">
        <v>5</v>
      </c>
      <c r="C189" t="s">
        <v>9</v>
      </c>
      <c r="D189" s="3">
        <v>111536</v>
      </c>
      <c r="E189" s="1" t="s">
        <v>172</v>
      </c>
    </row>
    <row r="190" spans="1:5" x14ac:dyDescent="0.3">
      <c r="A190">
        <v>189</v>
      </c>
      <c r="B190" t="s">
        <v>14</v>
      </c>
      <c r="C190" t="s">
        <v>6</v>
      </c>
      <c r="D190" s="3">
        <v>111777</v>
      </c>
      <c r="E190" s="1" t="s">
        <v>153</v>
      </c>
    </row>
    <row r="191" spans="1:5" x14ac:dyDescent="0.3">
      <c r="A191">
        <v>190</v>
      </c>
      <c r="B191" t="s">
        <v>37</v>
      </c>
      <c r="C191" t="s">
        <v>15</v>
      </c>
      <c r="D191" s="3">
        <v>217436</v>
      </c>
      <c r="E191" s="1" t="s">
        <v>13</v>
      </c>
    </row>
    <row r="192" spans="1:5" x14ac:dyDescent="0.3">
      <c r="A192">
        <v>191</v>
      </c>
      <c r="B192" t="s">
        <v>5</v>
      </c>
      <c r="C192" t="s">
        <v>9</v>
      </c>
      <c r="D192" s="3">
        <v>56712</v>
      </c>
      <c r="E192" s="1" t="s">
        <v>78</v>
      </c>
    </row>
    <row r="193" spans="1:5" x14ac:dyDescent="0.3">
      <c r="A193">
        <v>192</v>
      </c>
      <c r="B193" t="s">
        <v>19</v>
      </c>
      <c r="C193" t="s">
        <v>6</v>
      </c>
      <c r="D193" s="3">
        <v>238726</v>
      </c>
      <c r="E193" s="1" t="s">
        <v>173</v>
      </c>
    </row>
    <row r="194" spans="1:5" x14ac:dyDescent="0.3">
      <c r="A194">
        <v>193</v>
      </c>
      <c r="B194" t="s">
        <v>5</v>
      </c>
      <c r="C194" t="s">
        <v>17</v>
      </c>
      <c r="D194" s="3">
        <v>169655</v>
      </c>
      <c r="E194" s="1" t="s">
        <v>174</v>
      </c>
    </row>
    <row r="195" spans="1:5" x14ac:dyDescent="0.3">
      <c r="A195">
        <v>194</v>
      </c>
      <c r="B195" t="s">
        <v>19</v>
      </c>
      <c r="C195" t="s">
        <v>6</v>
      </c>
      <c r="D195" s="3">
        <v>162634</v>
      </c>
      <c r="E195" s="1" t="s">
        <v>175</v>
      </c>
    </row>
    <row r="196" spans="1:5" x14ac:dyDescent="0.3">
      <c r="A196">
        <v>195</v>
      </c>
      <c r="B196" t="s">
        <v>19</v>
      </c>
      <c r="C196" t="s">
        <v>6</v>
      </c>
      <c r="D196" s="3">
        <v>140115</v>
      </c>
      <c r="E196" s="1" t="s">
        <v>176</v>
      </c>
    </row>
    <row r="197" spans="1:5" x14ac:dyDescent="0.3">
      <c r="A197">
        <v>196</v>
      </c>
      <c r="B197" t="s">
        <v>37</v>
      </c>
      <c r="C197" t="s">
        <v>6</v>
      </c>
      <c r="D197" s="3">
        <v>143645</v>
      </c>
      <c r="E197" s="1" t="s">
        <v>83</v>
      </c>
    </row>
    <row r="198" spans="1:5" x14ac:dyDescent="0.3">
      <c r="A198">
        <v>197</v>
      </c>
      <c r="B198" t="s">
        <v>19</v>
      </c>
      <c r="C198" t="s">
        <v>15</v>
      </c>
      <c r="D198" s="3">
        <v>215416</v>
      </c>
      <c r="E198" s="1" t="s">
        <v>150</v>
      </c>
    </row>
    <row r="199" spans="1:5" x14ac:dyDescent="0.3">
      <c r="A199">
        <v>198</v>
      </c>
      <c r="B199" t="s">
        <v>37</v>
      </c>
      <c r="C199" t="s">
        <v>9</v>
      </c>
      <c r="D199" s="3">
        <v>222360</v>
      </c>
      <c r="E199" s="1" t="s">
        <v>177</v>
      </c>
    </row>
    <row r="200" spans="1:5" x14ac:dyDescent="0.3">
      <c r="A200">
        <v>199</v>
      </c>
      <c r="B200" t="s">
        <v>19</v>
      </c>
      <c r="C200" t="s">
        <v>15</v>
      </c>
      <c r="D200" s="3">
        <v>151863</v>
      </c>
      <c r="E200" s="1" t="s">
        <v>125</v>
      </c>
    </row>
    <row r="201" spans="1:5" x14ac:dyDescent="0.3">
      <c r="A201">
        <v>200</v>
      </c>
      <c r="B201" t="s">
        <v>14</v>
      </c>
      <c r="C201" t="s">
        <v>17</v>
      </c>
      <c r="D201" s="3">
        <v>114490</v>
      </c>
      <c r="E201" s="1" t="s">
        <v>178</v>
      </c>
    </row>
    <row r="202" spans="1:5" x14ac:dyDescent="0.3">
      <c r="A202">
        <v>201</v>
      </c>
      <c r="B202" t="s">
        <v>8</v>
      </c>
      <c r="C202" t="s">
        <v>6</v>
      </c>
      <c r="D202" s="3">
        <v>103119</v>
      </c>
      <c r="E202" s="1" t="s">
        <v>179</v>
      </c>
    </row>
    <row r="203" spans="1:5" x14ac:dyDescent="0.3">
      <c r="A203">
        <v>202</v>
      </c>
      <c r="B203" t="s">
        <v>37</v>
      </c>
      <c r="C203" t="s">
        <v>9</v>
      </c>
      <c r="D203" s="3">
        <v>226732</v>
      </c>
      <c r="E203" s="1" t="s">
        <v>180</v>
      </c>
    </row>
    <row r="204" spans="1:5" x14ac:dyDescent="0.3">
      <c r="A204">
        <v>203</v>
      </c>
      <c r="B204" t="s">
        <v>14</v>
      </c>
      <c r="C204" t="s">
        <v>15</v>
      </c>
      <c r="D204" s="3">
        <v>118184</v>
      </c>
      <c r="E204" s="1" t="s">
        <v>155</v>
      </c>
    </row>
    <row r="205" spans="1:5" x14ac:dyDescent="0.3">
      <c r="A205">
        <v>204</v>
      </c>
      <c r="B205" t="s">
        <v>37</v>
      </c>
      <c r="C205" t="s">
        <v>17</v>
      </c>
      <c r="D205" s="3">
        <v>77668</v>
      </c>
      <c r="E205" s="1" t="s">
        <v>181</v>
      </c>
    </row>
    <row r="206" spans="1:5" x14ac:dyDescent="0.3">
      <c r="A206">
        <v>205</v>
      </c>
      <c r="B206" t="s">
        <v>8</v>
      </c>
      <c r="C206" t="s">
        <v>17</v>
      </c>
      <c r="D206" s="3">
        <v>239146</v>
      </c>
      <c r="E206" s="1" t="s">
        <v>182</v>
      </c>
    </row>
    <row r="207" spans="1:5" x14ac:dyDescent="0.3">
      <c r="A207">
        <v>206</v>
      </c>
      <c r="B207" t="s">
        <v>19</v>
      </c>
      <c r="C207" t="s">
        <v>17</v>
      </c>
      <c r="D207" s="3">
        <v>186278</v>
      </c>
      <c r="E207" s="1" t="s">
        <v>183</v>
      </c>
    </row>
    <row r="208" spans="1:5" x14ac:dyDescent="0.3">
      <c r="A208">
        <v>207</v>
      </c>
      <c r="B208" t="s">
        <v>19</v>
      </c>
      <c r="C208" t="s">
        <v>6</v>
      </c>
      <c r="D208" s="3">
        <v>165430</v>
      </c>
      <c r="E208" s="1" t="s">
        <v>169</v>
      </c>
    </row>
    <row r="209" spans="1:5" x14ac:dyDescent="0.3">
      <c r="A209">
        <v>208</v>
      </c>
      <c r="B209" t="s">
        <v>8</v>
      </c>
      <c r="C209" t="s">
        <v>6</v>
      </c>
      <c r="D209" s="3">
        <v>93270</v>
      </c>
      <c r="E209" s="1" t="s">
        <v>184</v>
      </c>
    </row>
    <row r="210" spans="1:5" x14ac:dyDescent="0.3">
      <c r="A210">
        <v>209</v>
      </c>
      <c r="B210" t="s">
        <v>37</v>
      </c>
      <c r="C210" t="s">
        <v>15</v>
      </c>
      <c r="D210" s="3">
        <v>175536</v>
      </c>
      <c r="E210" s="1" t="s">
        <v>185</v>
      </c>
    </row>
    <row r="211" spans="1:5" x14ac:dyDescent="0.3">
      <c r="A211">
        <v>210</v>
      </c>
      <c r="B211" t="s">
        <v>8</v>
      </c>
      <c r="C211" t="s">
        <v>15</v>
      </c>
      <c r="D211" s="3">
        <v>199319</v>
      </c>
      <c r="E211" s="1" t="s">
        <v>186</v>
      </c>
    </row>
    <row r="212" spans="1:5" x14ac:dyDescent="0.3">
      <c r="A212">
        <v>211</v>
      </c>
      <c r="B212" t="s">
        <v>37</v>
      </c>
      <c r="C212" t="s">
        <v>15</v>
      </c>
      <c r="D212" s="3">
        <v>237862</v>
      </c>
      <c r="E212" s="1" t="s">
        <v>187</v>
      </c>
    </row>
    <row r="213" spans="1:5" x14ac:dyDescent="0.3">
      <c r="A213">
        <v>212</v>
      </c>
      <c r="B213" t="s">
        <v>5</v>
      </c>
      <c r="C213" t="s">
        <v>17</v>
      </c>
      <c r="D213" s="3">
        <v>88090</v>
      </c>
      <c r="E213" s="1" t="s">
        <v>188</v>
      </c>
    </row>
    <row r="214" spans="1:5" x14ac:dyDescent="0.3">
      <c r="A214">
        <v>213</v>
      </c>
      <c r="B214" t="s">
        <v>8</v>
      </c>
      <c r="C214" t="s">
        <v>17</v>
      </c>
      <c r="D214" s="3">
        <v>204053</v>
      </c>
      <c r="E214" s="1" t="s">
        <v>189</v>
      </c>
    </row>
    <row r="215" spans="1:5" x14ac:dyDescent="0.3">
      <c r="A215">
        <v>214</v>
      </c>
      <c r="B215" t="s">
        <v>19</v>
      </c>
      <c r="C215" t="s">
        <v>15</v>
      </c>
      <c r="D215" s="3">
        <v>175089</v>
      </c>
      <c r="E215" s="1" t="s">
        <v>190</v>
      </c>
    </row>
    <row r="216" spans="1:5" x14ac:dyDescent="0.3">
      <c r="A216">
        <v>215</v>
      </c>
      <c r="B216" t="s">
        <v>19</v>
      </c>
      <c r="C216" t="s">
        <v>15</v>
      </c>
      <c r="D216" s="3">
        <v>225542</v>
      </c>
      <c r="E216" s="1" t="s">
        <v>191</v>
      </c>
    </row>
    <row r="217" spans="1:5" x14ac:dyDescent="0.3">
      <c r="A217">
        <v>216</v>
      </c>
      <c r="B217" t="s">
        <v>19</v>
      </c>
      <c r="C217" t="s">
        <v>17</v>
      </c>
      <c r="D217" s="3">
        <v>214249</v>
      </c>
      <c r="E217" s="1" t="s">
        <v>29</v>
      </c>
    </row>
    <row r="218" spans="1:5" x14ac:dyDescent="0.3">
      <c r="A218">
        <v>217</v>
      </c>
      <c r="B218" t="s">
        <v>19</v>
      </c>
      <c r="C218" t="s">
        <v>17</v>
      </c>
      <c r="D218" s="3">
        <v>95903</v>
      </c>
      <c r="E218" s="1" t="s">
        <v>192</v>
      </c>
    </row>
    <row r="219" spans="1:5" x14ac:dyDescent="0.3">
      <c r="A219">
        <v>218</v>
      </c>
      <c r="B219" t="s">
        <v>5</v>
      </c>
      <c r="C219" t="s">
        <v>9</v>
      </c>
      <c r="D219" s="3">
        <v>112719</v>
      </c>
      <c r="E219" s="1" t="s">
        <v>193</v>
      </c>
    </row>
    <row r="220" spans="1:5" x14ac:dyDescent="0.3">
      <c r="A220">
        <v>219</v>
      </c>
      <c r="B220" t="s">
        <v>14</v>
      </c>
      <c r="C220" t="s">
        <v>9</v>
      </c>
      <c r="D220" s="3">
        <v>80211</v>
      </c>
      <c r="E220" s="1" t="s">
        <v>20</v>
      </c>
    </row>
    <row r="221" spans="1:5" x14ac:dyDescent="0.3">
      <c r="A221">
        <v>220</v>
      </c>
      <c r="B221" t="s">
        <v>37</v>
      </c>
      <c r="C221" t="s">
        <v>17</v>
      </c>
      <c r="D221" s="3">
        <v>219945</v>
      </c>
      <c r="E221" s="1" t="s">
        <v>194</v>
      </c>
    </row>
    <row r="222" spans="1:5" x14ac:dyDescent="0.3">
      <c r="A222">
        <v>221</v>
      </c>
      <c r="B222" t="s">
        <v>14</v>
      </c>
      <c r="C222" t="s">
        <v>17</v>
      </c>
      <c r="D222" s="3">
        <v>56352</v>
      </c>
      <c r="E222" s="1" t="s">
        <v>95</v>
      </c>
    </row>
    <row r="223" spans="1:5" x14ac:dyDescent="0.3">
      <c r="A223">
        <v>222</v>
      </c>
      <c r="B223" t="s">
        <v>8</v>
      </c>
      <c r="C223" t="s">
        <v>17</v>
      </c>
      <c r="D223" s="3">
        <v>89633</v>
      </c>
      <c r="E223" s="1" t="s">
        <v>195</v>
      </c>
    </row>
    <row r="224" spans="1:5" x14ac:dyDescent="0.3">
      <c r="A224">
        <v>223</v>
      </c>
      <c r="B224" t="s">
        <v>8</v>
      </c>
      <c r="C224" t="s">
        <v>17</v>
      </c>
      <c r="D224" s="3">
        <v>33708</v>
      </c>
      <c r="E224" s="1" t="s">
        <v>196</v>
      </c>
    </row>
    <row r="225" spans="1:5" x14ac:dyDescent="0.3">
      <c r="A225">
        <v>224</v>
      </c>
      <c r="B225" t="s">
        <v>14</v>
      </c>
      <c r="C225" t="s">
        <v>9</v>
      </c>
      <c r="D225" s="3">
        <v>101909</v>
      </c>
      <c r="E225" s="1" t="s">
        <v>135</v>
      </c>
    </row>
    <row r="226" spans="1:5" x14ac:dyDescent="0.3">
      <c r="A226">
        <v>225</v>
      </c>
      <c r="B226" t="s">
        <v>5</v>
      </c>
      <c r="C226" t="s">
        <v>17</v>
      </c>
      <c r="D226" s="3">
        <v>212823</v>
      </c>
      <c r="E226" s="1" t="s">
        <v>197</v>
      </c>
    </row>
    <row r="227" spans="1:5" x14ac:dyDescent="0.3">
      <c r="A227">
        <v>226</v>
      </c>
      <c r="B227" t="s">
        <v>8</v>
      </c>
      <c r="C227" t="s">
        <v>15</v>
      </c>
      <c r="D227" s="3">
        <v>56892</v>
      </c>
      <c r="E227" s="1" t="s">
        <v>198</v>
      </c>
    </row>
    <row r="228" spans="1:5" x14ac:dyDescent="0.3">
      <c r="A228">
        <v>227</v>
      </c>
      <c r="B228" t="s">
        <v>5</v>
      </c>
      <c r="C228" t="s">
        <v>17</v>
      </c>
      <c r="D228" s="3">
        <v>153049</v>
      </c>
      <c r="E228" s="1" t="s">
        <v>199</v>
      </c>
    </row>
    <row r="229" spans="1:5" x14ac:dyDescent="0.3">
      <c r="A229">
        <v>228</v>
      </c>
      <c r="B229" t="s">
        <v>37</v>
      </c>
      <c r="C229" t="s">
        <v>17</v>
      </c>
      <c r="D229" s="3">
        <v>78329</v>
      </c>
      <c r="E229" s="1" t="s">
        <v>200</v>
      </c>
    </row>
    <row r="230" spans="1:5" x14ac:dyDescent="0.3">
      <c r="A230">
        <v>229</v>
      </c>
      <c r="B230" t="s">
        <v>5</v>
      </c>
      <c r="C230" t="s">
        <v>17</v>
      </c>
      <c r="D230" s="3">
        <v>155233</v>
      </c>
      <c r="E230" s="1" t="s">
        <v>201</v>
      </c>
    </row>
    <row r="231" spans="1:5" x14ac:dyDescent="0.3">
      <c r="A231">
        <v>230</v>
      </c>
      <c r="B231" t="s">
        <v>5</v>
      </c>
      <c r="C231" t="s">
        <v>15</v>
      </c>
      <c r="D231" s="3">
        <v>158908</v>
      </c>
      <c r="E231" s="1" t="s">
        <v>202</v>
      </c>
    </row>
    <row r="232" spans="1:5" x14ac:dyDescent="0.3">
      <c r="A232">
        <v>231</v>
      </c>
      <c r="B232" t="s">
        <v>14</v>
      </c>
      <c r="C232" t="s">
        <v>6</v>
      </c>
      <c r="D232" s="3">
        <v>69774</v>
      </c>
      <c r="E232" s="1" t="s">
        <v>203</v>
      </c>
    </row>
    <row r="233" spans="1:5" x14ac:dyDescent="0.3">
      <c r="A233">
        <v>232</v>
      </c>
      <c r="B233" t="s">
        <v>14</v>
      </c>
      <c r="C233" t="s">
        <v>17</v>
      </c>
      <c r="D233" s="3">
        <v>52329</v>
      </c>
      <c r="E233" s="1" t="s">
        <v>72</v>
      </c>
    </row>
    <row r="234" spans="1:5" x14ac:dyDescent="0.3">
      <c r="A234">
        <v>233</v>
      </c>
      <c r="B234" t="s">
        <v>5</v>
      </c>
      <c r="C234" t="s">
        <v>15</v>
      </c>
      <c r="D234" s="3">
        <v>188942</v>
      </c>
      <c r="E234" s="1" t="s">
        <v>122</v>
      </c>
    </row>
    <row r="235" spans="1:5" x14ac:dyDescent="0.3">
      <c r="A235">
        <v>234</v>
      </c>
      <c r="B235" t="s">
        <v>14</v>
      </c>
      <c r="C235" t="s">
        <v>9</v>
      </c>
      <c r="D235" s="3">
        <v>233343</v>
      </c>
      <c r="E235" s="1" t="s">
        <v>177</v>
      </c>
    </row>
    <row r="236" spans="1:5" x14ac:dyDescent="0.3">
      <c r="A236">
        <v>235</v>
      </c>
      <c r="B236" t="s">
        <v>37</v>
      </c>
      <c r="C236" t="s">
        <v>15</v>
      </c>
      <c r="D236" s="3">
        <v>146056</v>
      </c>
      <c r="E236" s="1" t="s">
        <v>204</v>
      </c>
    </row>
    <row r="237" spans="1:5" x14ac:dyDescent="0.3">
      <c r="A237">
        <v>236</v>
      </c>
      <c r="B237" t="s">
        <v>14</v>
      </c>
      <c r="C237" t="s">
        <v>15</v>
      </c>
      <c r="D237" s="3">
        <v>110053</v>
      </c>
      <c r="E237" s="1" t="s">
        <v>129</v>
      </c>
    </row>
    <row r="238" spans="1:5" x14ac:dyDescent="0.3">
      <c r="A238">
        <v>237</v>
      </c>
      <c r="B238" t="s">
        <v>14</v>
      </c>
      <c r="C238" t="s">
        <v>6</v>
      </c>
      <c r="D238" s="3">
        <v>189811</v>
      </c>
      <c r="E238" s="1" t="s">
        <v>83</v>
      </c>
    </row>
    <row r="239" spans="1:5" x14ac:dyDescent="0.3">
      <c r="A239">
        <v>238</v>
      </c>
      <c r="B239" t="s">
        <v>5</v>
      </c>
      <c r="C239" t="s">
        <v>9</v>
      </c>
      <c r="D239" s="3">
        <v>193975</v>
      </c>
      <c r="E239" s="1" t="s">
        <v>205</v>
      </c>
    </row>
    <row r="240" spans="1:5" x14ac:dyDescent="0.3">
      <c r="A240">
        <v>239</v>
      </c>
      <c r="B240" t="s">
        <v>19</v>
      </c>
      <c r="C240" t="s">
        <v>6</v>
      </c>
      <c r="D240" s="3">
        <v>71171</v>
      </c>
      <c r="E240" s="1" t="s">
        <v>146</v>
      </c>
    </row>
    <row r="241" spans="1:5" x14ac:dyDescent="0.3">
      <c r="A241">
        <v>240</v>
      </c>
      <c r="B241" t="s">
        <v>8</v>
      </c>
      <c r="C241" t="s">
        <v>6</v>
      </c>
      <c r="D241" s="3">
        <v>71034</v>
      </c>
      <c r="E241" s="1" t="s">
        <v>77</v>
      </c>
    </row>
    <row r="242" spans="1:5" x14ac:dyDescent="0.3">
      <c r="A242">
        <v>241</v>
      </c>
      <c r="B242" t="s">
        <v>37</v>
      </c>
      <c r="C242" t="s">
        <v>15</v>
      </c>
      <c r="D242" s="3">
        <v>210714</v>
      </c>
      <c r="E242" s="1" t="s">
        <v>86</v>
      </c>
    </row>
    <row r="243" spans="1:5" x14ac:dyDescent="0.3">
      <c r="A243">
        <v>242</v>
      </c>
      <c r="B243" t="s">
        <v>37</v>
      </c>
      <c r="C243" t="s">
        <v>17</v>
      </c>
      <c r="D243" s="3">
        <v>38556</v>
      </c>
      <c r="E243" s="1" t="s">
        <v>192</v>
      </c>
    </row>
    <row r="244" spans="1:5" x14ac:dyDescent="0.3">
      <c r="A244">
        <v>243</v>
      </c>
      <c r="B244" t="s">
        <v>19</v>
      </c>
      <c r="C244" t="s">
        <v>17</v>
      </c>
      <c r="D244" s="3">
        <v>214283</v>
      </c>
      <c r="E244" s="1" t="s">
        <v>45</v>
      </c>
    </row>
    <row r="245" spans="1:5" x14ac:dyDescent="0.3">
      <c r="A245">
        <v>244</v>
      </c>
      <c r="B245" t="s">
        <v>37</v>
      </c>
      <c r="C245" t="s">
        <v>6</v>
      </c>
      <c r="D245" s="3">
        <v>210193</v>
      </c>
      <c r="E245" s="1" t="s">
        <v>206</v>
      </c>
    </row>
    <row r="246" spans="1:5" x14ac:dyDescent="0.3">
      <c r="A246">
        <v>245</v>
      </c>
      <c r="B246" t="s">
        <v>19</v>
      </c>
      <c r="C246" t="s">
        <v>9</v>
      </c>
      <c r="D246" s="3">
        <v>141447</v>
      </c>
      <c r="E246" s="1" t="s">
        <v>201</v>
      </c>
    </row>
    <row r="247" spans="1:5" x14ac:dyDescent="0.3">
      <c r="A247">
        <v>246</v>
      </c>
      <c r="B247" t="s">
        <v>14</v>
      </c>
      <c r="C247" t="s">
        <v>9</v>
      </c>
      <c r="D247" s="3">
        <v>199773</v>
      </c>
      <c r="E247" s="1" t="s">
        <v>203</v>
      </c>
    </row>
    <row r="248" spans="1:5" x14ac:dyDescent="0.3">
      <c r="A248">
        <v>247</v>
      </c>
      <c r="B248" t="s">
        <v>19</v>
      </c>
      <c r="C248" t="s">
        <v>9</v>
      </c>
      <c r="D248" s="3">
        <v>48719</v>
      </c>
      <c r="E248" s="1" t="s">
        <v>207</v>
      </c>
    </row>
    <row r="249" spans="1:5" x14ac:dyDescent="0.3">
      <c r="A249">
        <v>248</v>
      </c>
      <c r="B249" t="s">
        <v>8</v>
      </c>
      <c r="C249" t="s">
        <v>17</v>
      </c>
      <c r="D249" s="3">
        <v>185987</v>
      </c>
      <c r="E249" s="1" t="s">
        <v>110</v>
      </c>
    </row>
    <row r="250" spans="1:5" x14ac:dyDescent="0.3">
      <c r="A250">
        <v>249</v>
      </c>
      <c r="B250" t="s">
        <v>14</v>
      </c>
      <c r="C250" t="s">
        <v>17</v>
      </c>
      <c r="D250" s="3">
        <v>145121</v>
      </c>
      <c r="E250" s="1" t="s">
        <v>208</v>
      </c>
    </row>
    <row r="251" spans="1:5" x14ac:dyDescent="0.3">
      <c r="A251">
        <v>250</v>
      </c>
      <c r="B251" t="s">
        <v>37</v>
      </c>
      <c r="C251" t="s">
        <v>17</v>
      </c>
      <c r="D251" s="3">
        <v>213430</v>
      </c>
      <c r="E251" s="1" t="s">
        <v>209</v>
      </c>
    </row>
    <row r="252" spans="1:5" x14ac:dyDescent="0.3">
      <c r="A252">
        <v>251</v>
      </c>
      <c r="B252" t="s">
        <v>19</v>
      </c>
      <c r="C252" t="s">
        <v>15</v>
      </c>
      <c r="D252" s="3">
        <v>144755</v>
      </c>
      <c r="E252" s="1" t="s">
        <v>164</v>
      </c>
    </row>
    <row r="253" spans="1:5" x14ac:dyDescent="0.3">
      <c r="A253">
        <v>252</v>
      </c>
      <c r="B253" t="s">
        <v>14</v>
      </c>
      <c r="C253" t="s">
        <v>6</v>
      </c>
      <c r="D253" s="3">
        <v>143253</v>
      </c>
      <c r="E253" s="1" t="s">
        <v>210</v>
      </c>
    </row>
    <row r="254" spans="1:5" x14ac:dyDescent="0.3">
      <c r="A254">
        <v>253</v>
      </c>
      <c r="B254" t="s">
        <v>19</v>
      </c>
      <c r="C254" t="s">
        <v>17</v>
      </c>
      <c r="D254" s="3">
        <v>36780</v>
      </c>
      <c r="E254" s="1" t="s">
        <v>211</v>
      </c>
    </row>
    <row r="255" spans="1:5" x14ac:dyDescent="0.3">
      <c r="A255">
        <v>254</v>
      </c>
      <c r="B255" t="s">
        <v>8</v>
      </c>
      <c r="C255" t="s">
        <v>6</v>
      </c>
      <c r="D255" s="3">
        <v>230477</v>
      </c>
      <c r="E255" s="1" t="s">
        <v>212</v>
      </c>
    </row>
    <row r="256" spans="1:5" x14ac:dyDescent="0.3">
      <c r="A256">
        <v>255</v>
      </c>
      <c r="B256" t="s">
        <v>19</v>
      </c>
      <c r="C256" t="s">
        <v>6</v>
      </c>
      <c r="D256" s="3">
        <v>230044</v>
      </c>
      <c r="E256" s="1" t="s">
        <v>213</v>
      </c>
    </row>
    <row r="257" spans="1:5" x14ac:dyDescent="0.3">
      <c r="A257">
        <v>256</v>
      </c>
      <c r="B257" t="s">
        <v>8</v>
      </c>
      <c r="C257" t="s">
        <v>15</v>
      </c>
      <c r="D257" s="3">
        <v>166043</v>
      </c>
      <c r="E257" s="1" t="s">
        <v>74</v>
      </c>
    </row>
    <row r="258" spans="1:5" x14ac:dyDescent="0.3">
      <c r="A258">
        <v>257</v>
      </c>
      <c r="B258" t="s">
        <v>37</v>
      </c>
      <c r="C258" t="s">
        <v>17</v>
      </c>
      <c r="D258" s="3">
        <v>77576</v>
      </c>
      <c r="E258" s="1" t="s">
        <v>40</v>
      </c>
    </row>
    <row r="259" spans="1:5" x14ac:dyDescent="0.3">
      <c r="A259">
        <v>258</v>
      </c>
      <c r="B259" t="s">
        <v>37</v>
      </c>
      <c r="C259" t="s">
        <v>15</v>
      </c>
      <c r="D259" s="3">
        <v>53918</v>
      </c>
      <c r="E259" s="1" t="s">
        <v>214</v>
      </c>
    </row>
    <row r="260" spans="1:5" x14ac:dyDescent="0.3">
      <c r="A260">
        <v>259</v>
      </c>
      <c r="B260" t="s">
        <v>19</v>
      </c>
      <c r="C260" t="s">
        <v>15</v>
      </c>
      <c r="D260" s="3">
        <v>117374</v>
      </c>
      <c r="E260" s="1" t="s">
        <v>215</v>
      </c>
    </row>
    <row r="261" spans="1:5" x14ac:dyDescent="0.3">
      <c r="A261">
        <v>260</v>
      </c>
      <c r="B261" t="s">
        <v>5</v>
      </c>
      <c r="C261" t="s">
        <v>9</v>
      </c>
      <c r="D261" s="3">
        <v>116456</v>
      </c>
      <c r="E261" s="1" t="s">
        <v>216</v>
      </c>
    </row>
    <row r="262" spans="1:5" x14ac:dyDescent="0.3">
      <c r="A262">
        <v>261</v>
      </c>
      <c r="B262" t="s">
        <v>37</v>
      </c>
      <c r="C262" t="s">
        <v>17</v>
      </c>
      <c r="D262" s="3">
        <v>203692</v>
      </c>
      <c r="E262" s="1" t="s">
        <v>197</v>
      </c>
    </row>
    <row r="263" spans="1:5" x14ac:dyDescent="0.3">
      <c r="A263">
        <v>262</v>
      </c>
      <c r="B263" t="s">
        <v>37</v>
      </c>
      <c r="C263" t="s">
        <v>6</v>
      </c>
      <c r="D263" s="3">
        <v>149229</v>
      </c>
      <c r="E263" s="1" t="s">
        <v>217</v>
      </c>
    </row>
    <row r="264" spans="1:5" x14ac:dyDescent="0.3">
      <c r="A264">
        <v>263</v>
      </c>
      <c r="B264" t="s">
        <v>19</v>
      </c>
      <c r="C264" t="s">
        <v>17</v>
      </c>
      <c r="D264" s="3">
        <v>114744</v>
      </c>
      <c r="E264" s="1" t="s">
        <v>120</v>
      </c>
    </row>
    <row r="265" spans="1:5" x14ac:dyDescent="0.3">
      <c r="A265">
        <v>264</v>
      </c>
      <c r="B265" t="s">
        <v>37</v>
      </c>
      <c r="C265" t="s">
        <v>6</v>
      </c>
      <c r="D265" s="3">
        <v>202401</v>
      </c>
      <c r="E265" s="1" t="s">
        <v>18</v>
      </c>
    </row>
    <row r="266" spans="1:5" x14ac:dyDescent="0.3">
      <c r="A266">
        <v>265</v>
      </c>
      <c r="B266" t="s">
        <v>14</v>
      </c>
      <c r="C266" t="s">
        <v>15</v>
      </c>
      <c r="D266" s="3">
        <v>138330</v>
      </c>
      <c r="E266" s="1" t="s">
        <v>70</v>
      </c>
    </row>
    <row r="267" spans="1:5" x14ac:dyDescent="0.3">
      <c r="A267">
        <v>266</v>
      </c>
      <c r="B267" t="s">
        <v>8</v>
      </c>
      <c r="C267" t="s">
        <v>17</v>
      </c>
      <c r="D267" s="3">
        <v>193219</v>
      </c>
      <c r="E267" s="1" t="s">
        <v>213</v>
      </c>
    </row>
    <row r="268" spans="1:5" x14ac:dyDescent="0.3">
      <c r="A268">
        <v>267</v>
      </c>
      <c r="B268" t="s">
        <v>37</v>
      </c>
      <c r="C268" t="s">
        <v>15</v>
      </c>
      <c r="D268" s="3">
        <v>229226</v>
      </c>
      <c r="E268" s="1" t="s">
        <v>218</v>
      </c>
    </row>
    <row r="269" spans="1:5" x14ac:dyDescent="0.3">
      <c r="A269">
        <v>268</v>
      </c>
      <c r="B269" t="s">
        <v>8</v>
      </c>
      <c r="C269" t="s">
        <v>17</v>
      </c>
      <c r="D269" s="3">
        <v>173974</v>
      </c>
      <c r="E269" s="1" t="s">
        <v>219</v>
      </c>
    </row>
    <row r="270" spans="1:5" x14ac:dyDescent="0.3">
      <c r="A270">
        <v>269</v>
      </c>
      <c r="B270" t="s">
        <v>19</v>
      </c>
      <c r="C270" t="s">
        <v>15</v>
      </c>
      <c r="D270" s="3">
        <v>213042</v>
      </c>
      <c r="E270" s="1" t="s">
        <v>66</v>
      </c>
    </row>
    <row r="271" spans="1:5" x14ac:dyDescent="0.3">
      <c r="A271">
        <v>270</v>
      </c>
      <c r="B271" t="s">
        <v>5</v>
      </c>
      <c r="C271" t="s">
        <v>6</v>
      </c>
      <c r="D271" s="3">
        <v>195156</v>
      </c>
      <c r="E271" s="1" t="s">
        <v>220</v>
      </c>
    </row>
    <row r="272" spans="1:5" x14ac:dyDescent="0.3">
      <c r="A272">
        <v>271</v>
      </c>
      <c r="B272" t="s">
        <v>8</v>
      </c>
      <c r="C272" t="s">
        <v>9</v>
      </c>
      <c r="D272" s="3">
        <v>111461</v>
      </c>
      <c r="E272" s="1" t="s">
        <v>221</v>
      </c>
    </row>
    <row r="273" spans="1:5" x14ac:dyDescent="0.3">
      <c r="A273">
        <v>272</v>
      </c>
      <c r="B273" t="s">
        <v>5</v>
      </c>
      <c r="C273" t="s">
        <v>15</v>
      </c>
      <c r="D273" s="3">
        <v>54434</v>
      </c>
      <c r="E273" s="1" t="s">
        <v>222</v>
      </c>
    </row>
    <row r="274" spans="1:5" x14ac:dyDescent="0.3">
      <c r="A274">
        <v>273</v>
      </c>
      <c r="B274" t="s">
        <v>5</v>
      </c>
      <c r="C274" t="s">
        <v>15</v>
      </c>
      <c r="D274" s="3">
        <v>60793</v>
      </c>
      <c r="E274" s="1" t="s">
        <v>175</v>
      </c>
    </row>
    <row r="275" spans="1:5" x14ac:dyDescent="0.3">
      <c r="A275">
        <v>274</v>
      </c>
      <c r="B275" t="s">
        <v>8</v>
      </c>
      <c r="C275" t="s">
        <v>15</v>
      </c>
      <c r="D275" s="3">
        <v>217853</v>
      </c>
      <c r="E275" s="1" t="s">
        <v>223</v>
      </c>
    </row>
    <row r="276" spans="1:5" x14ac:dyDescent="0.3">
      <c r="A276">
        <v>275</v>
      </c>
      <c r="B276" t="s">
        <v>14</v>
      </c>
      <c r="C276" t="s">
        <v>17</v>
      </c>
      <c r="D276" s="3">
        <v>138918</v>
      </c>
      <c r="E276" s="1" t="s">
        <v>224</v>
      </c>
    </row>
    <row r="277" spans="1:5" x14ac:dyDescent="0.3">
      <c r="A277">
        <v>276</v>
      </c>
      <c r="B277" t="s">
        <v>37</v>
      </c>
      <c r="C277" t="s">
        <v>15</v>
      </c>
      <c r="D277" s="3">
        <v>93892</v>
      </c>
      <c r="E277" s="1" t="s">
        <v>225</v>
      </c>
    </row>
    <row r="278" spans="1:5" x14ac:dyDescent="0.3">
      <c r="A278">
        <v>277</v>
      </c>
      <c r="B278" t="s">
        <v>14</v>
      </c>
      <c r="C278" t="s">
        <v>9</v>
      </c>
      <c r="D278" s="3">
        <v>130554</v>
      </c>
      <c r="E278" s="1" t="s">
        <v>79</v>
      </c>
    </row>
    <row r="279" spans="1:5" x14ac:dyDescent="0.3">
      <c r="A279">
        <v>278</v>
      </c>
      <c r="B279" t="s">
        <v>14</v>
      </c>
      <c r="C279" t="s">
        <v>9</v>
      </c>
      <c r="D279" s="3">
        <v>48300</v>
      </c>
      <c r="E279" s="1" t="s">
        <v>226</v>
      </c>
    </row>
    <row r="280" spans="1:5" x14ac:dyDescent="0.3">
      <c r="A280">
        <v>279</v>
      </c>
      <c r="B280" t="s">
        <v>37</v>
      </c>
      <c r="C280" t="s">
        <v>17</v>
      </c>
      <c r="D280" s="3">
        <v>236495</v>
      </c>
      <c r="E280" s="1" t="s">
        <v>51</v>
      </c>
    </row>
    <row r="281" spans="1:5" x14ac:dyDescent="0.3">
      <c r="A281">
        <v>280</v>
      </c>
      <c r="B281" t="s">
        <v>19</v>
      </c>
      <c r="C281" t="s">
        <v>6</v>
      </c>
      <c r="D281" s="3">
        <v>104144</v>
      </c>
      <c r="E281" s="1" t="s">
        <v>227</v>
      </c>
    </row>
    <row r="282" spans="1:5" x14ac:dyDescent="0.3">
      <c r="A282">
        <v>281</v>
      </c>
      <c r="B282" t="s">
        <v>19</v>
      </c>
      <c r="C282" t="s">
        <v>15</v>
      </c>
      <c r="D282" s="3">
        <v>68953</v>
      </c>
      <c r="E282" s="1" t="s">
        <v>228</v>
      </c>
    </row>
    <row r="283" spans="1:5" x14ac:dyDescent="0.3">
      <c r="A283">
        <v>282</v>
      </c>
      <c r="B283" t="s">
        <v>14</v>
      </c>
      <c r="C283" t="s">
        <v>15</v>
      </c>
      <c r="D283" s="3">
        <v>120472</v>
      </c>
      <c r="E283" s="1" t="s">
        <v>229</v>
      </c>
    </row>
    <row r="284" spans="1:5" x14ac:dyDescent="0.3">
      <c r="A284">
        <v>283</v>
      </c>
      <c r="B284" t="s">
        <v>14</v>
      </c>
      <c r="C284" t="s">
        <v>15</v>
      </c>
      <c r="D284" s="3">
        <v>149365</v>
      </c>
      <c r="E284" s="1" t="s">
        <v>93</v>
      </c>
    </row>
    <row r="285" spans="1:5" x14ac:dyDescent="0.3">
      <c r="A285">
        <v>284</v>
      </c>
      <c r="B285" t="s">
        <v>19</v>
      </c>
      <c r="C285" t="s">
        <v>9</v>
      </c>
      <c r="D285" s="3">
        <v>212845</v>
      </c>
      <c r="E285" s="1" t="s">
        <v>146</v>
      </c>
    </row>
    <row r="286" spans="1:5" x14ac:dyDescent="0.3">
      <c r="A286">
        <v>285</v>
      </c>
      <c r="B286" t="s">
        <v>14</v>
      </c>
      <c r="C286" t="s">
        <v>15</v>
      </c>
      <c r="D286" s="3">
        <v>91226</v>
      </c>
      <c r="E286" s="1" t="s">
        <v>230</v>
      </c>
    </row>
    <row r="287" spans="1:5" x14ac:dyDescent="0.3">
      <c r="A287">
        <v>286</v>
      </c>
      <c r="B287" t="s">
        <v>37</v>
      </c>
      <c r="C287" t="s">
        <v>6</v>
      </c>
      <c r="D287" s="3">
        <v>113408</v>
      </c>
      <c r="E287" s="1" t="s">
        <v>231</v>
      </c>
    </row>
    <row r="288" spans="1:5" x14ac:dyDescent="0.3">
      <c r="A288">
        <v>287</v>
      </c>
      <c r="B288" t="s">
        <v>37</v>
      </c>
      <c r="C288" t="s">
        <v>15</v>
      </c>
      <c r="D288" s="3">
        <v>131208</v>
      </c>
      <c r="E288" s="1" t="s">
        <v>232</v>
      </c>
    </row>
    <row r="289" spans="1:5" x14ac:dyDescent="0.3">
      <c r="A289">
        <v>288</v>
      </c>
      <c r="B289" t="s">
        <v>8</v>
      </c>
      <c r="C289" t="s">
        <v>15</v>
      </c>
      <c r="D289" s="3">
        <v>39704</v>
      </c>
      <c r="E289" s="1" t="s">
        <v>168</v>
      </c>
    </row>
    <row r="290" spans="1:5" x14ac:dyDescent="0.3">
      <c r="A290">
        <v>289</v>
      </c>
      <c r="B290" t="s">
        <v>14</v>
      </c>
      <c r="C290" t="s">
        <v>17</v>
      </c>
      <c r="D290" s="3">
        <v>56309</v>
      </c>
      <c r="E290" s="1" t="s">
        <v>233</v>
      </c>
    </row>
    <row r="291" spans="1:5" x14ac:dyDescent="0.3">
      <c r="A291">
        <v>290</v>
      </c>
      <c r="B291" t="s">
        <v>37</v>
      </c>
      <c r="C291" t="s">
        <v>6</v>
      </c>
      <c r="D291" s="3">
        <v>167874</v>
      </c>
      <c r="E291" s="1" t="s">
        <v>234</v>
      </c>
    </row>
    <row r="292" spans="1:5" x14ac:dyDescent="0.3">
      <c r="A292">
        <v>291</v>
      </c>
      <c r="B292" t="s">
        <v>37</v>
      </c>
      <c r="C292" t="s">
        <v>6</v>
      </c>
      <c r="D292" s="3">
        <v>219384</v>
      </c>
      <c r="E292" s="1" t="s">
        <v>235</v>
      </c>
    </row>
    <row r="293" spans="1:5" x14ac:dyDescent="0.3">
      <c r="A293">
        <v>292</v>
      </c>
      <c r="B293" t="s">
        <v>37</v>
      </c>
      <c r="C293" t="s">
        <v>9</v>
      </c>
      <c r="D293" s="3">
        <v>49615</v>
      </c>
      <c r="E293" s="1" t="s">
        <v>214</v>
      </c>
    </row>
    <row r="294" spans="1:5" x14ac:dyDescent="0.3">
      <c r="A294">
        <v>293</v>
      </c>
      <c r="B294" t="s">
        <v>19</v>
      </c>
      <c r="C294" t="s">
        <v>17</v>
      </c>
      <c r="D294" s="3">
        <v>193383</v>
      </c>
      <c r="E294" s="1" t="s">
        <v>236</v>
      </c>
    </row>
    <row r="295" spans="1:5" x14ac:dyDescent="0.3">
      <c r="A295">
        <v>294</v>
      </c>
      <c r="B295" t="s">
        <v>37</v>
      </c>
      <c r="C295" t="s">
        <v>6</v>
      </c>
      <c r="D295" s="3">
        <v>116131</v>
      </c>
      <c r="E295" s="1" t="s">
        <v>178</v>
      </c>
    </row>
    <row r="296" spans="1:5" x14ac:dyDescent="0.3">
      <c r="A296">
        <v>295</v>
      </c>
      <c r="B296" t="s">
        <v>14</v>
      </c>
      <c r="C296" t="s">
        <v>15</v>
      </c>
      <c r="D296" s="3">
        <v>113010</v>
      </c>
      <c r="E296" s="1" t="s">
        <v>237</v>
      </c>
    </row>
    <row r="297" spans="1:5" x14ac:dyDescent="0.3">
      <c r="A297">
        <v>296</v>
      </c>
      <c r="B297" t="s">
        <v>37</v>
      </c>
      <c r="C297" t="s">
        <v>6</v>
      </c>
      <c r="D297" s="3">
        <v>191863</v>
      </c>
      <c r="E297" s="1" t="s">
        <v>84</v>
      </c>
    </row>
    <row r="298" spans="1:5" x14ac:dyDescent="0.3">
      <c r="A298">
        <v>297</v>
      </c>
      <c r="B298" t="s">
        <v>8</v>
      </c>
      <c r="C298" t="s">
        <v>17</v>
      </c>
      <c r="D298" s="3">
        <v>89634</v>
      </c>
      <c r="E298" s="1" t="s">
        <v>238</v>
      </c>
    </row>
    <row r="299" spans="1:5" x14ac:dyDescent="0.3">
      <c r="A299">
        <v>298</v>
      </c>
      <c r="B299" t="s">
        <v>5</v>
      </c>
      <c r="C299" t="s">
        <v>15</v>
      </c>
      <c r="D299" s="3">
        <v>55806</v>
      </c>
      <c r="E299" s="1" t="s">
        <v>239</v>
      </c>
    </row>
    <row r="300" spans="1:5" x14ac:dyDescent="0.3">
      <c r="A300">
        <v>299</v>
      </c>
      <c r="B300" t="s">
        <v>5</v>
      </c>
      <c r="C300" t="s">
        <v>15</v>
      </c>
      <c r="D300" s="3">
        <v>73611</v>
      </c>
      <c r="E300" s="1" t="s">
        <v>240</v>
      </c>
    </row>
    <row r="301" spans="1:5" x14ac:dyDescent="0.3">
      <c r="A301">
        <v>300</v>
      </c>
      <c r="B301" t="s">
        <v>19</v>
      </c>
      <c r="C301" t="s">
        <v>6</v>
      </c>
      <c r="D301" s="3">
        <v>42056</v>
      </c>
      <c r="E301" s="1" t="s">
        <v>33</v>
      </c>
    </row>
  </sheetData>
  <pageMargins left="0.75" right="0.75" top="1" bottom="1" header="0.5" footer="0.5"/>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C11"/>
  <sheetViews>
    <sheetView workbookViewId="0">
      <selection activeCell="D23" sqref="D23"/>
    </sheetView>
  </sheetViews>
  <sheetFormatPr defaultRowHeight="14.4" x14ac:dyDescent="0.3"/>
  <cols>
    <col min="1" max="1" width="9.6640625" customWidth="1"/>
    <col min="2" max="2" width="14.21875" customWidth="1"/>
  </cols>
  <sheetData>
    <row r="1" spans="1:3" x14ac:dyDescent="0.3">
      <c r="A1" t="s">
        <v>241</v>
      </c>
      <c r="B1" t="s">
        <v>242</v>
      </c>
      <c r="C1" t="s">
        <v>243</v>
      </c>
    </row>
    <row r="2" spans="1:3" x14ac:dyDescent="0.3">
      <c r="A2">
        <v>1</v>
      </c>
      <c r="B2" t="s">
        <v>244</v>
      </c>
      <c r="C2" t="s">
        <v>245</v>
      </c>
    </row>
    <row r="3" spans="1:3" x14ac:dyDescent="0.3">
      <c r="A3">
        <v>2</v>
      </c>
      <c r="B3" t="s">
        <v>246</v>
      </c>
      <c r="C3" t="s">
        <v>245</v>
      </c>
    </row>
    <row r="4" spans="1:3" x14ac:dyDescent="0.3">
      <c r="A4">
        <v>3</v>
      </c>
      <c r="B4" t="s">
        <v>247</v>
      </c>
      <c r="C4" t="s">
        <v>248</v>
      </c>
    </row>
    <row r="5" spans="1:3" x14ac:dyDescent="0.3">
      <c r="A5">
        <v>4</v>
      </c>
      <c r="B5" t="s">
        <v>249</v>
      </c>
      <c r="C5" t="s">
        <v>250</v>
      </c>
    </row>
    <row r="6" spans="1:3" x14ac:dyDescent="0.3">
      <c r="A6">
        <v>5</v>
      </c>
      <c r="B6" t="s">
        <v>251</v>
      </c>
      <c r="C6" t="s">
        <v>248</v>
      </c>
    </row>
    <row r="7" spans="1:3" x14ac:dyDescent="0.3">
      <c r="A7">
        <v>6</v>
      </c>
      <c r="B7" t="s">
        <v>249</v>
      </c>
      <c r="C7" t="s">
        <v>248</v>
      </c>
    </row>
    <row r="8" spans="1:3" x14ac:dyDescent="0.3">
      <c r="A8">
        <v>7</v>
      </c>
      <c r="B8" t="s">
        <v>244</v>
      </c>
      <c r="C8" t="s">
        <v>250</v>
      </c>
    </row>
    <row r="9" spans="1:3" x14ac:dyDescent="0.3">
      <c r="A9">
        <v>8</v>
      </c>
      <c r="B9" t="s">
        <v>251</v>
      </c>
      <c r="C9" t="s">
        <v>248</v>
      </c>
    </row>
    <row r="10" spans="1:3" x14ac:dyDescent="0.3">
      <c r="A10">
        <v>9</v>
      </c>
      <c r="B10" t="s">
        <v>247</v>
      </c>
      <c r="C10" t="s">
        <v>248</v>
      </c>
    </row>
    <row r="11" spans="1:3" x14ac:dyDescent="0.3">
      <c r="A11">
        <v>10</v>
      </c>
      <c r="B11" t="s">
        <v>249</v>
      </c>
      <c r="C11" t="s">
        <v>250</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pageSetUpPr fitToPage="1"/>
  </sheetPr>
  <dimension ref="A1:N501"/>
  <sheetViews>
    <sheetView zoomScaleNormal="100" workbookViewId="0">
      <selection activeCell="N1" sqref="N1"/>
    </sheetView>
  </sheetViews>
  <sheetFormatPr defaultRowHeight="14.4" x14ac:dyDescent="0.3"/>
  <cols>
    <col min="1" max="1" width="14.44140625" customWidth="1"/>
    <col min="2" max="2" width="12" customWidth="1"/>
    <col min="3" max="3" width="9.6640625" customWidth="1"/>
    <col min="4" max="4" width="14.44140625" customWidth="1"/>
    <col min="5" max="5" width="11.33203125" customWidth="1"/>
    <col min="6" max="6" width="12.44140625" customWidth="1"/>
    <col min="7" max="7" width="9.33203125" customWidth="1"/>
    <col min="8" max="8" width="17.109375" customWidth="1"/>
    <col min="9" max="9" width="16.21875" customWidth="1"/>
    <col min="10" max="10" width="16.88671875" customWidth="1"/>
    <col min="11" max="11" width="18.21875" customWidth="1"/>
    <col min="12" max="12" width="14.21875" customWidth="1"/>
    <col min="13" max="13" width="18.44140625" customWidth="1"/>
    <col min="14" max="14" width="12.88671875" customWidth="1"/>
    <col min="15" max="15" width="18" customWidth="1"/>
  </cols>
  <sheetData>
    <row r="1" spans="1:14" x14ac:dyDescent="0.3">
      <c r="A1" t="s">
        <v>252</v>
      </c>
      <c r="B1" t="s">
        <v>0</v>
      </c>
      <c r="C1" t="s">
        <v>241</v>
      </c>
      <c r="D1" s="3" t="s">
        <v>253</v>
      </c>
      <c r="E1" t="s">
        <v>254</v>
      </c>
      <c r="F1" s="1" t="s">
        <v>255</v>
      </c>
      <c r="G1" t="s">
        <v>1</v>
      </c>
      <c r="H1" t="s">
        <v>431</v>
      </c>
      <c r="I1" t="s">
        <v>435</v>
      </c>
      <c r="J1" t="s">
        <v>453</v>
      </c>
      <c r="K1" t="s">
        <v>454</v>
      </c>
      <c r="L1" t="s">
        <v>455</v>
      </c>
      <c r="M1" t="s">
        <v>456</v>
      </c>
      <c r="N1" t="s">
        <v>457</v>
      </c>
    </row>
    <row r="2" spans="1:14" x14ac:dyDescent="0.3">
      <c r="A2">
        <v>350</v>
      </c>
      <c r="B2">
        <v>221</v>
      </c>
      <c r="C2">
        <v>8</v>
      </c>
      <c r="D2" s="3">
        <v>298666</v>
      </c>
      <c r="E2" t="s">
        <v>257</v>
      </c>
      <c r="F2" s="1" t="s">
        <v>151</v>
      </c>
      <c r="G2" t="str">
        <f>_xlfn.XLOOKUP(B2, Properties!A:A, Properties!B:B, FALSE)</f>
        <v>Nis</v>
      </c>
      <c r="H2" t="str">
        <f>_xlfn.XLOOKUP(C2, Agents!A:A, Agents!B:B, FALSE)</f>
        <v>Mina Lukic</v>
      </c>
      <c r="I2" t="str">
        <f t="shared" ref="I2:I65" si="0">TEXT(F2, "YYYY-MM")</f>
        <v>2024-07</v>
      </c>
      <c r="J2" s="5" t="str">
        <f t="shared" ref="J2:J65" si="1">IF(D2&gt;200000, "Luxury", "Standard")</f>
        <v>Luxury</v>
      </c>
      <c r="K2" s="5" t="str">
        <f t="shared" ref="K2:K65" si="2">IF(D2&gt;250000, "High", IF(D2&gt;150000, "Medium", "Low"))</f>
        <v>High</v>
      </c>
      <c r="L2" s="5" t="str">
        <f t="shared" ref="L2:L65" si="3">IF(AND(E2="Sold", D2&gt;200000), "Yes", "No")</f>
        <v>No</v>
      </c>
      <c r="M2" s="5" t="str">
        <f>IF(OR(E2="Pending", E2="Cancelled"), "Attention Needed", "Ok")</f>
        <v>Attention Needed</v>
      </c>
      <c r="N2" s="3">
        <f>_xlfn.XLOOKUP(B2, Properties!A:A, Properties!D:D, FALSE)</f>
        <v>56352</v>
      </c>
    </row>
    <row r="3" spans="1:14" x14ac:dyDescent="0.3">
      <c r="A3">
        <v>462</v>
      </c>
      <c r="B3">
        <v>43</v>
      </c>
      <c r="C3">
        <v>5</v>
      </c>
      <c r="D3" s="3">
        <v>298070</v>
      </c>
      <c r="E3" t="s">
        <v>259</v>
      </c>
      <c r="F3" s="1" t="s">
        <v>413</v>
      </c>
      <c r="G3" t="str">
        <f>_xlfn.XLOOKUP(B3, Properties!A:A, Properties!B:B, FALSE)</f>
        <v>Novi Sad</v>
      </c>
      <c r="H3" t="str">
        <f>_xlfn.XLOOKUP(C3, Agents!A:A, Agents!B:B, FALSE)</f>
        <v>Mina Lukic</v>
      </c>
      <c r="I3" t="str">
        <f t="shared" si="0"/>
        <v>2025-04</v>
      </c>
      <c r="J3" s="5" t="str">
        <f t="shared" si="1"/>
        <v>Luxury</v>
      </c>
      <c r="K3" s="5" t="str">
        <f t="shared" si="2"/>
        <v>High</v>
      </c>
      <c r="L3" s="5" t="str">
        <f t="shared" si="3"/>
        <v>Yes</v>
      </c>
      <c r="M3" s="5" t="str">
        <f t="shared" ref="M3:M65" si="4">IF(OR(E3="Pending", E3="Cancelled"), "Attention Needed", "Ok")</f>
        <v>Ok</v>
      </c>
      <c r="N3" s="3">
        <f>_xlfn.XLOOKUP(B3, Properties!A:A, Properties!D:D, FALSE)</f>
        <v>187009</v>
      </c>
    </row>
    <row r="4" spans="1:14" x14ac:dyDescent="0.3">
      <c r="A4">
        <v>377</v>
      </c>
      <c r="B4">
        <v>51</v>
      </c>
      <c r="C4">
        <v>5</v>
      </c>
      <c r="D4" s="3">
        <v>297741</v>
      </c>
      <c r="E4" t="s">
        <v>259</v>
      </c>
      <c r="F4" s="1" t="s">
        <v>238</v>
      </c>
      <c r="G4" t="str">
        <f>_xlfn.XLOOKUP(B4, Properties!A:A, Properties!B:B, FALSE)</f>
        <v>Nis</v>
      </c>
      <c r="H4" t="str">
        <f>_xlfn.XLOOKUP(C4, Agents!A:A, Agents!B:B, FALSE)</f>
        <v>Mina Lukic</v>
      </c>
      <c r="I4" t="str">
        <f t="shared" si="0"/>
        <v>2025-01</v>
      </c>
      <c r="J4" s="5" t="str">
        <f t="shared" si="1"/>
        <v>Luxury</v>
      </c>
      <c r="K4" s="5" t="str">
        <f t="shared" si="2"/>
        <v>High</v>
      </c>
      <c r="L4" s="5" t="str">
        <f t="shared" si="3"/>
        <v>Yes</v>
      </c>
      <c r="M4" s="5" t="str">
        <f t="shared" si="4"/>
        <v>Ok</v>
      </c>
      <c r="N4" s="3">
        <f>_xlfn.XLOOKUP(B4, Properties!A:A, Properties!D:D, FALSE)</f>
        <v>216895</v>
      </c>
    </row>
    <row r="5" spans="1:14" x14ac:dyDescent="0.3">
      <c r="A5">
        <v>452</v>
      </c>
      <c r="B5">
        <v>14</v>
      </c>
      <c r="C5">
        <v>5</v>
      </c>
      <c r="D5" s="3">
        <v>297136</v>
      </c>
      <c r="E5" t="s">
        <v>259</v>
      </c>
      <c r="F5" s="1" t="s">
        <v>411</v>
      </c>
      <c r="G5" t="str">
        <f>_xlfn.XLOOKUP(B5, Properties!A:A, Properties!B:B, FALSE)</f>
        <v>Nis</v>
      </c>
      <c r="H5" t="str">
        <f>_xlfn.XLOOKUP(C5, Agents!A:A, Agents!B:B, FALSE)</f>
        <v>Mina Lukic</v>
      </c>
      <c r="I5" t="str">
        <f t="shared" si="0"/>
        <v>2024-04</v>
      </c>
      <c r="J5" s="5" t="str">
        <f t="shared" si="1"/>
        <v>Luxury</v>
      </c>
      <c r="K5" s="5" t="str">
        <f t="shared" si="2"/>
        <v>High</v>
      </c>
      <c r="L5" s="5" t="str">
        <f t="shared" si="3"/>
        <v>Yes</v>
      </c>
      <c r="M5" s="5" t="str">
        <f t="shared" si="4"/>
        <v>Ok</v>
      </c>
      <c r="N5" s="3">
        <f>_xlfn.XLOOKUP(B5, Properties!A:A, Properties!D:D, FALSE)</f>
        <v>247423</v>
      </c>
    </row>
    <row r="6" spans="1:14" x14ac:dyDescent="0.3">
      <c r="A6">
        <v>215</v>
      </c>
      <c r="B6">
        <v>188</v>
      </c>
      <c r="C6">
        <v>3</v>
      </c>
      <c r="D6" s="3">
        <v>296926</v>
      </c>
      <c r="E6" t="s">
        <v>259</v>
      </c>
      <c r="F6" s="1" t="s">
        <v>347</v>
      </c>
      <c r="G6" t="str">
        <f>_xlfn.XLOOKUP(B6, Properties!A:A, Properties!B:B, FALSE)</f>
        <v>Belgrade</v>
      </c>
      <c r="H6" t="str">
        <f>_xlfn.XLOOKUP(C6, Agents!A:A, Agents!B:B, FALSE)</f>
        <v>Ivan Stankovic</v>
      </c>
      <c r="I6" t="str">
        <f t="shared" si="0"/>
        <v>2024-07</v>
      </c>
      <c r="J6" s="5" t="str">
        <f t="shared" si="1"/>
        <v>Luxury</v>
      </c>
      <c r="K6" s="5" t="str">
        <f t="shared" si="2"/>
        <v>High</v>
      </c>
      <c r="L6" s="5" t="str">
        <f t="shared" si="3"/>
        <v>Yes</v>
      </c>
      <c r="M6" s="5" t="str">
        <f t="shared" si="4"/>
        <v>Ok</v>
      </c>
      <c r="N6" s="3">
        <f>_xlfn.XLOOKUP(B6, Properties!A:A, Properties!D:D, FALSE)</f>
        <v>111536</v>
      </c>
    </row>
    <row r="7" spans="1:14" x14ac:dyDescent="0.3">
      <c r="A7">
        <v>141</v>
      </c>
      <c r="B7">
        <v>185</v>
      </c>
      <c r="C7">
        <v>2</v>
      </c>
      <c r="D7" s="3">
        <v>295985</v>
      </c>
      <c r="E7" t="s">
        <v>257</v>
      </c>
      <c r="F7" s="1" t="s">
        <v>123</v>
      </c>
      <c r="G7" t="str">
        <f>_xlfn.XLOOKUP(B7, Properties!A:A, Properties!B:B, FALSE)</f>
        <v>Becej</v>
      </c>
      <c r="H7" t="str">
        <f>_xlfn.XLOOKUP(C7, Agents!A:A, Agents!B:B, FALSE)</f>
        <v>Jelena Petrovic</v>
      </c>
      <c r="I7" t="str">
        <f t="shared" si="0"/>
        <v>2025-02</v>
      </c>
      <c r="J7" s="5" t="str">
        <f t="shared" si="1"/>
        <v>Luxury</v>
      </c>
      <c r="K7" s="5" t="str">
        <f t="shared" si="2"/>
        <v>High</v>
      </c>
      <c r="L7" s="5" t="str">
        <f t="shared" si="3"/>
        <v>No</v>
      </c>
      <c r="M7" s="5" t="str">
        <f t="shared" si="4"/>
        <v>Attention Needed</v>
      </c>
      <c r="N7" s="3">
        <f>_xlfn.XLOOKUP(B7, Properties!A:A, Properties!D:D, FALSE)</f>
        <v>177841</v>
      </c>
    </row>
    <row r="8" spans="1:14" x14ac:dyDescent="0.3">
      <c r="A8">
        <v>97</v>
      </c>
      <c r="B8">
        <v>47</v>
      </c>
      <c r="C8">
        <v>10</v>
      </c>
      <c r="D8" s="3">
        <v>295849</v>
      </c>
      <c r="E8" t="s">
        <v>257</v>
      </c>
      <c r="F8" s="1" t="s">
        <v>294</v>
      </c>
      <c r="G8" t="str">
        <f>_xlfn.XLOOKUP(B8, Properties!A:A, Properties!B:B, FALSE)</f>
        <v>Becej</v>
      </c>
      <c r="H8" t="str">
        <f>_xlfn.XLOOKUP(C8, Agents!A:A, Agents!B:B, FALSE)</f>
        <v>Marko Jovic</v>
      </c>
      <c r="I8" t="str">
        <f t="shared" si="0"/>
        <v>2024-07</v>
      </c>
      <c r="J8" s="5" t="str">
        <f t="shared" si="1"/>
        <v>Luxury</v>
      </c>
      <c r="K8" s="5" t="str">
        <f t="shared" si="2"/>
        <v>High</v>
      </c>
      <c r="L8" s="5" t="str">
        <f t="shared" si="3"/>
        <v>No</v>
      </c>
      <c r="M8" s="5" t="str">
        <f t="shared" si="4"/>
        <v>Attention Needed</v>
      </c>
      <c r="N8" s="3">
        <f>_xlfn.XLOOKUP(B8, Properties!A:A, Properties!D:D, FALSE)</f>
        <v>229387</v>
      </c>
    </row>
    <row r="9" spans="1:14" x14ac:dyDescent="0.3">
      <c r="A9">
        <v>49</v>
      </c>
      <c r="B9">
        <v>272</v>
      </c>
      <c r="C9">
        <v>5</v>
      </c>
      <c r="D9" s="3">
        <v>295054</v>
      </c>
      <c r="E9" t="s">
        <v>256</v>
      </c>
      <c r="F9" s="1" t="s">
        <v>22</v>
      </c>
      <c r="G9" t="str">
        <f>_xlfn.XLOOKUP(B9, Properties!A:A, Properties!B:B, FALSE)</f>
        <v>Belgrade</v>
      </c>
      <c r="H9" t="str">
        <f>_xlfn.XLOOKUP(C9, Agents!A:A, Agents!B:B, FALSE)</f>
        <v>Mina Lukic</v>
      </c>
      <c r="I9" t="str">
        <f t="shared" si="0"/>
        <v>2024-11</v>
      </c>
      <c r="J9" s="5" t="str">
        <f t="shared" si="1"/>
        <v>Luxury</v>
      </c>
      <c r="K9" s="5" t="str">
        <f t="shared" si="2"/>
        <v>High</v>
      </c>
      <c r="L9" s="5" t="str">
        <f t="shared" si="3"/>
        <v>No</v>
      </c>
      <c r="M9" s="5" t="str">
        <f t="shared" si="4"/>
        <v>Attention Needed</v>
      </c>
      <c r="N9" s="3">
        <f>_xlfn.XLOOKUP(B9, Properties!A:A, Properties!D:D, FALSE)</f>
        <v>54434</v>
      </c>
    </row>
    <row r="10" spans="1:14" x14ac:dyDescent="0.3">
      <c r="A10">
        <v>263</v>
      </c>
      <c r="B10">
        <v>158</v>
      </c>
      <c r="C10">
        <v>3</v>
      </c>
      <c r="D10" s="3">
        <v>293465</v>
      </c>
      <c r="E10" t="s">
        <v>256</v>
      </c>
      <c r="F10" s="1" t="s">
        <v>367</v>
      </c>
      <c r="G10" t="str">
        <f>_xlfn.XLOOKUP(B10, Properties!A:A, Properties!B:B, FALSE)</f>
        <v>Nis</v>
      </c>
      <c r="H10" t="str">
        <f>_xlfn.XLOOKUP(C10, Agents!A:A, Agents!B:B, FALSE)</f>
        <v>Ivan Stankovic</v>
      </c>
      <c r="I10" t="str">
        <f t="shared" si="0"/>
        <v>2025-04</v>
      </c>
      <c r="J10" s="5" t="str">
        <f t="shared" si="1"/>
        <v>Luxury</v>
      </c>
      <c r="K10" s="5" t="str">
        <f t="shared" si="2"/>
        <v>High</v>
      </c>
      <c r="L10" s="5" t="str">
        <f t="shared" si="3"/>
        <v>No</v>
      </c>
      <c r="M10" s="5" t="str">
        <f t="shared" si="4"/>
        <v>Attention Needed</v>
      </c>
      <c r="N10" s="3">
        <f>_xlfn.XLOOKUP(B10, Properties!A:A, Properties!D:D, FALSE)</f>
        <v>194298</v>
      </c>
    </row>
    <row r="11" spans="1:14" x14ac:dyDescent="0.3">
      <c r="A11">
        <v>228</v>
      </c>
      <c r="B11">
        <v>212</v>
      </c>
      <c r="C11">
        <v>4</v>
      </c>
      <c r="D11" s="3">
        <v>293097</v>
      </c>
      <c r="E11" t="s">
        <v>256</v>
      </c>
      <c r="F11" s="1" t="s">
        <v>300</v>
      </c>
      <c r="G11" t="str">
        <f>_xlfn.XLOOKUP(B11, Properties!A:A, Properties!B:B, FALSE)</f>
        <v>Belgrade</v>
      </c>
      <c r="H11" t="str">
        <f>_xlfn.XLOOKUP(C11, Agents!A:A, Agents!B:B, FALSE)</f>
        <v>Marko Jovic</v>
      </c>
      <c r="I11" t="str">
        <f t="shared" si="0"/>
        <v>2025-01</v>
      </c>
      <c r="J11" s="5" t="str">
        <f t="shared" si="1"/>
        <v>Luxury</v>
      </c>
      <c r="K11" s="5" t="str">
        <f t="shared" si="2"/>
        <v>High</v>
      </c>
      <c r="L11" s="5" t="str">
        <f t="shared" si="3"/>
        <v>No</v>
      </c>
      <c r="M11" s="5" t="str">
        <f t="shared" si="4"/>
        <v>Attention Needed</v>
      </c>
      <c r="N11" s="3">
        <f>_xlfn.XLOOKUP(B11, Properties!A:A, Properties!D:D, FALSE)</f>
        <v>88090</v>
      </c>
    </row>
    <row r="12" spans="1:14" x14ac:dyDescent="0.3">
      <c r="A12">
        <v>379</v>
      </c>
      <c r="B12">
        <v>192</v>
      </c>
      <c r="C12">
        <v>7</v>
      </c>
      <c r="D12" s="3">
        <v>292388</v>
      </c>
      <c r="E12" t="s">
        <v>256</v>
      </c>
      <c r="F12" s="1" t="s">
        <v>149</v>
      </c>
      <c r="G12" t="str">
        <f>_xlfn.XLOOKUP(B12, Properties!A:A, Properties!B:B, FALSE)</f>
        <v>Subotica</v>
      </c>
      <c r="H12" t="str">
        <f>_xlfn.XLOOKUP(C12, Agents!A:A, Agents!B:B, FALSE)</f>
        <v>Ana Markovic</v>
      </c>
      <c r="I12" t="str">
        <f t="shared" si="0"/>
        <v>2024-03</v>
      </c>
      <c r="J12" s="5" t="str">
        <f t="shared" si="1"/>
        <v>Luxury</v>
      </c>
      <c r="K12" s="5" t="str">
        <f t="shared" si="2"/>
        <v>High</v>
      </c>
      <c r="L12" s="5" t="str">
        <f t="shared" si="3"/>
        <v>No</v>
      </c>
      <c r="M12" s="5" t="str">
        <f t="shared" si="4"/>
        <v>Attention Needed</v>
      </c>
      <c r="N12" s="3">
        <f>_xlfn.XLOOKUP(B12, Properties!A:A, Properties!D:D, FALSE)</f>
        <v>238726</v>
      </c>
    </row>
    <row r="13" spans="1:14" x14ac:dyDescent="0.3">
      <c r="A13">
        <v>155</v>
      </c>
      <c r="B13">
        <v>96</v>
      </c>
      <c r="C13">
        <v>8</v>
      </c>
      <c r="D13" s="3">
        <v>290845</v>
      </c>
      <c r="E13" t="s">
        <v>257</v>
      </c>
      <c r="F13" s="1" t="s">
        <v>321</v>
      </c>
      <c r="G13" t="str">
        <f>_xlfn.XLOOKUP(B13, Properties!A:A, Properties!B:B, FALSE)</f>
        <v>Nis</v>
      </c>
      <c r="H13" t="str">
        <f>_xlfn.XLOOKUP(C13, Agents!A:A, Agents!B:B, FALSE)</f>
        <v>Mina Lukic</v>
      </c>
      <c r="I13" t="str">
        <f t="shared" si="0"/>
        <v>2024-07</v>
      </c>
      <c r="J13" s="5" t="str">
        <f t="shared" si="1"/>
        <v>Luxury</v>
      </c>
      <c r="K13" s="5" t="str">
        <f t="shared" si="2"/>
        <v>High</v>
      </c>
      <c r="L13" s="5" t="str">
        <f t="shared" si="3"/>
        <v>No</v>
      </c>
      <c r="M13" s="5" t="str">
        <f t="shared" si="4"/>
        <v>Attention Needed</v>
      </c>
      <c r="N13" s="3">
        <f>_xlfn.XLOOKUP(B13, Properties!A:A, Properties!D:D, FALSE)</f>
        <v>205076</v>
      </c>
    </row>
    <row r="14" spans="1:14" x14ac:dyDescent="0.3">
      <c r="A14">
        <v>311</v>
      </c>
      <c r="B14">
        <v>134</v>
      </c>
      <c r="C14">
        <v>6</v>
      </c>
      <c r="D14" s="3">
        <v>290716</v>
      </c>
      <c r="E14" t="s">
        <v>257</v>
      </c>
      <c r="F14" s="1" t="s">
        <v>366</v>
      </c>
      <c r="G14" t="str">
        <f>_xlfn.XLOOKUP(B14, Properties!A:A, Properties!B:B, FALSE)</f>
        <v>Becej</v>
      </c>
      <c r="H14" t="str">
        <f>_xlfn.XLOOKUP(C14, Agents!A:A, Agents!B:B, FALSE)</f>
        <v>Marko Jovic</v>
      </c>
      <c r="I14" t="str">
        <f t="shared" si="0"/>
        <v>2024-08</v>
      </c>
      <c r="J14" s="5" t="str">
        <f t="shared" si="1"/>
        <v>Luxury</v>
      </c>
      <c r="K14" s="5" t="str">
        <f t="shared" si="2"/>
        <v>High</v>
      </c>
      <c r="L14" s="5" t="str">
        <f t="shared" si="3"/>
        <v>No</v>
      </c>
      <c r="M14" s="5" t="str">
        <f t="shared" si="4"/>
        <v>Attention Needed</v>
      </c>
      <c r="N14" s="3">
        <f>_xlfn.XLOOKUP(B14, Properties!A:A, Properties!D:D, FALSE)</f>
        <v>135486</v>
      </c>
    </row>
    <row r="15" spans="1:14" x14ac:dyDescent="0.3">
      <c r="A15">
        <v>405</v>
      </c>
      <c r="B15">
        <v>197</v>
      </c>
      <c r="C15">
        <v>9</v>
      </c>
      <c r="D15" s="3">
        <v>289506</v>
      </c>
      <c r="E15" t="s">
        <v>257</v>
      </c>
      <c r="F15" s="1" t="s">
        <v>403</v>
      </c>
      <c r="G15" t="str">
        <f>_xlfn.XLOOKUP(B15, Properties!A:A, Properties!B:B, FALSE)</f>
        <v>Subotica</v>
      </c>
      <c r="H15" t="str">
        <f>_xlfn.XLOOKUP(C15, Agents!A:A, Agents!B:B, FALSE)</f>
        <v>Ivan Stankovic</v>
      </c>
      <c r="I15" t="str">
        <f t="shared" si="0"/>
        <v>2024-07</v>
      </c>
      <c r="J15" s="5" t="str">
        <f t="shared" si="1"/>
        <v>Luxury</v>
      </c>
      <c r="K15" s="5" t="str">
        <f t="shared" si="2"/>
        <v>High</v>
      </c>
      <c r="L15" s="5" t="str">
        <f t="shared" si="3"/>
        <v>No</v>
      </c>
      <c r="M15" s="5" t="str">
        <f t="shared" si="4"/>
        <v>Attention Needed</v>
      </c>
      <c r="N15" s="3">
        <f>_xlfn.XLOOKUP(B15, Properties!A:A, Properties!D:D, FALSE)</f>
        <v>215416</v>
      </c>
    </row>
    <row r="16" spans="1:14" x14ac:dyDescent="0.3">
      <c r="A16">
        <v>91</v>
      </c>
      <c r="B16">
        <v>39</v>
      </c>
      <c r="C16">
        <v>3</v>
      </c>
      <c r="D16" s="3">
        <v>289059</v>
      </c>
      <c r="E16" t="s">
        <v>257</v>
      </c>
      <c r="F16" s="1" t="s">
        <v>180</v>
      </c>
      <c r="G16" t="str">
        <f>_xlfn.XLOOKUP(B16, Properties!A:A, Properties!B:B, FALSE)</f>
        <v>Novi Sad</v>
      </c>
      <c r="H16" t="str">
        <f>_xlfn.XLOOKUP(C16, Agents!A:A, Agents!B:B, FALSE)</f>
        <v>Ivan Stankovic</v>
      </c>
      <c r="I16" t="str">
        <f t="shared" si="0"/>
        <v>2024-08</v>
      </c>
      <c r="J16" s="5" t="str">
        <f t="shared" si="1"/>
        <v>Luxury</v>
      </c>
      <c r="K16" s="5" t="str">
        <f t="shared" si="2"/>
        <v>High</v>
      </c>
      <c r="L16" s="5" t="str">
        <f t="shared" si="3"/>
        <v>No</v>
      </c>
      <c r="M16" s="5" t="str">
        <f t="shared" si="4"/>
        <v>Attention Needed</v>
      </c>
      <c r="N16" s="3">
        <f>_xlfn.XLOOKUP(B16, Properties!A:A, Properties!D:D, FALSE)</f>
        <v>30850</v>
      </c>
    </row>
    <row r="17" spans="1:14" x14ac:dyDescent="0.3">
      <c r="A17">
        <v>177</v>
      </c>
      <c r="B17">
        <v>103</v>
      </c>
      <c r="C17">
        <v>3</v>
      </c>
      <c r="D17" s="3">
        <v>289009</v>
      </c>
      <c r="E17" t="s">
        <v>259</v>
      </c>
      <c r="F17" s="1" t="s">
        <v>327</v>
      </c>
      <c r="G17" t="str">
        <f>_xlfn.XLOOKUP(B17, Properties!A:A, Properties!B:B, FALSE)</f>
        <v>Becej</v>
      </c>
      <c r="H17" t="str">
        <f>_xlfn.XLOOKUP(C17, Agents!A:A, Agents!B:B, FALSE)</f>
        <v>Ivan Stankovic</v>
      </c>
      <c r="I17" t="str">
        <f t="shared" si="0"/>
        <v>2024-01</v>
      </c>
      <c r="J17" s="5" t="str">
        <f t="shared" si="1"/>
        <v>Luxury</v>
      </c>
      <c r="K17" s="5" t="str">
        <f t="shared" si="2"/>
        <v>High</v>
      </c>
      <c r="L17" s="5" t="str">
        <f t="shared" si="3"/>
        <v>Yes</v>
      </c>
      <c r="M17" s="5" t="str">
        <f t="shared" si="4"/>
        <v>Ok</v>
      </c>
      <c r="N17" s="3">
        <f>_xlfn.XLOOKUP(B17, Properties!A:A, Properties!D:D, FALSE)</f>
        <v>41557</v>
      </c>
    </row>
    <row r="18" spans="1:14" x14ac:dyDescent="0.3">
      <c r="A18">
        <v>252</v>
      </c>
      <c r="B18">
        <v>172</v>
      </c>
      <c r="C18">
        <v>5</v>
      </c>
      <c r="D18" s="3">
        <v>288952</v>
      </c>
      <c r="E18" t="s">
        <v>256</v>
      </c>
      <c r="F18" s="1" t="s">
        <v>99</v>
      </c>
      <c r="G18" t="str">
        <f>_xlfn.XLOOKUP(B18, Properties!A:A, Properties!B:B, FALSE)</f>
        <v>Becej</v>
      </c>
      <c r="H18" t="str">
        <f>_xlfn.XLOOKUP(C18, Agents!A:A, Agents!B:B, FALSE)</f>
        <v>Mina Lukic</v>
      </c>
      <c r="I18" t="str">
        <f t="shared" si="0"/>
        <v>2025-03</v>
      </c>
      <c r="J18" s="5" t="str">
        <f t="shared" si="1"/>
        <v>Luxury</v>
      </c>
      <c r="K18" s="5" t="str">
        <f t="shared" si="2"/>
        <v>High</v>
      </c>
      <c r="L18" s="5" t="str">
        <f t="shared" si="3"/>
        <v>No</v>
      </c>
      <c r="M18" s="5" t="str">
        <f t="shared" si="4"/>
        <v>Attention Needed</v>
      </c>
      <c r="N18" s="3">
        <f>_xlfn.XLOOKUP(B18, Properties!A:A, Properties!D:D, FALSE)</f>
        <v>152523</v>
      </c>
    </row>
    <row r="19" spans="1:14" x14ac:dyDescent="0.3">
      <c r="A19">
        <v>484</v>
      </c>
      <c r="B19">
        <v>125</v>
      </c>
      <c r="C19">
        <v>8</v>
      </c>
      <c r="D19" s="3">
        <v>288663</v>
      </c>
      <c r="E19" t="s">
        <v>256</v>
      </c>
      <c r="F19" s="1" t="s">
        <v>419</v>
      </c>
      <c r="G19" t="str">
        <f>_xlfn.XLOOKUP(B19, Properties!A:A, Properties!B:B, FALSE)</f>
        <v>Subotica</v>
      </c>
      <c r="H19" t="str">
        <f>_xlfn.XLOOKUP(C19, Agents!A:A, Agents!B:B, FALSE)</f>
        <v>Mina Lukic</v>
      </c>
      <c r="I19" t="str">
        <f t="shared" si="0"/>
        <v>2025-01</v>
      </c>
      <c r="J19" s="5" t="str">
        <f t="shared" si="1"/>
        <v>Luxury</v>
      </c>
      <c r="K19" s="5" t="str">
        <f t="shared" si="2"/>
        <v>High</v>
      </c>
      <c r="L19" s="5" t="str">
        <f t="shared" si="3"/>
        <v>No</v>
      </c>
      <c r="M19" s="5" t="str">
        <f t="shared" si="4"/>
        <v>Attention Needed</v>
      </c>
      <c r="N19" s="3">
        <f>_xlfn.XLOOKUP(B19, Properties!A:A, Properties!D:D, FALSE)</f>
        <v>182198</v>
      </c>
    </row>
    <row r="20" spans="1:14" x14ac:dyDescent="0.3">
      <c r="A20">
        <v>220</v>
      </c>
      <c r="B20">
        <v>173</v>
      </c>
      <c r="C20">
        <v>9</v>
      </c>
      <c r="D20" s="3">
        <v>286820</v>
      </c>
      <c r="E20" t="s">
        <v>257</v>
      </c>
      <c r="F20" s="1" t="s">
        <v>196</v>
      </c>
      <c r="G20" t="str">
        <f>_xlfn.XLOOKUP(B20, Properties!A:A, Properties!B:B, FALSE)</f>
        <v>Novi Sad</v>
      </c>
      <c r="H20" t="str">
        <f>_xlfn.XLOOKUP(C20, Agents!A:A, Agents!B:B, FALSE)</f>
        <v>Ivan Stankovic</v>
      </c>
      <c r="I20" t="str">
        <f t="shared" si="0"/>
        <v>2024-12</v>
      </c>
      <c r="J20" s="5" t="str">
        <f t="shared" si="1"/>
        <v>Luxury</v>
      </c>
      <c r="K20" s="5" t="str">
        <f t="shared" si="2"/>
        <v>High</v>
      </c>
      <c r="L20" s="5" t="str">
        <f t="shared" si="3"/>
        <v>No</v>
      </c>
      <c r="M20" s="5" t="str">
        <f t="shared" si="4"/>
        <v>Attention Needed</v>
      </c>
      <c r="N20" s="3">
        <f>_xlfn.XLOOKUP(B20, Properties!A:A, Properties!D:D, FALSE)</f>
        <v>133290</v>
      </c>
    </row>
    <row r="21" spans="1:14" x14ac:dyDescent="0.3">
      <c r="A21">
        <v>393</v>
      </c>
      <c r="B21">
        <v>235</v>
      </c>
      <c r="C21">
        <v>2</v>
      </c>
      <c r="D21" s="3">
        <v>286630</v>
      </c>
      <c r="E21" t="s">
        <v>256</v>
      </c>
      <c r="F21" s="1" t="s">
        <v>59</v>
      </c>
      <c r="G21" t="str">
        <f>_xlfn.XLOOKUP(B21, Properties!A:A, Properties!B:B, FALSE)</f>
        <v>Becej</v>
      </c>
      <c r="H21" t="str">
        <f>_xlfn.XLOOKUP(C21, Agents!A:A, Agents!B:B, FALSE)</f>
        <v>Jelena Petrovic</v>
      </c>
      <c r="I21" t="str">
        <f t="shared" si="0"/>
        <v>2024-09</v>
      </c>
      <c r="J21" s="5" t="str">
        <f t="shared" si="1"/>
        <v>Luxury</v>
      </c>
      <c r="K21" s="5" t="str">
        <f t="shared" si="2"/>
        <v>High</v>
      </c>
      <c r="L21" s="5" t="str">
        <f t="shared" si="3"/>
        <v>No</v>
      </c>
      <c r="M21" s="5" t="str">
        <f t="shared" si="4"/>
        <v>Attention Needed</v>
      </c>
      <c r="N21" s="3">
        <f>_xlfn.XLOOKUP(B21, Properties!A:A, Properties!D:D, FALSE)</f>
        <v>146056</v>
      </c>
    </row>
    <row r="22" spans="1:14" x14ac:dyDescent="0.3">
      <c r="A22">
        <v>318</v>
      </c>
      <c r="B22">
        <v>181</v>
      </c>
      <c r="C22">
        <v>3</v>
      </c>
      <c r="D22" s="3">
        <v>286018</v>
      </c>
      <c r="E22" t="s">
        <v>259</v>
      </c>
      <c r="F22" s="1" t="s">
        <v>379</v>
      </c>
      <c r="G22" t="str">
        <f>_xlfn.XLOOKUP(B22, Properties!A:A, Properties!B:B, FALSE)</f>
        <v>Belgrade</v>
      </c>
      <c r="H22" t="str">
        <f>_xlfn.XLOOKUP(C22, Agents!A:A, Agents!B:B, FALSE)</f>
        <v>Ivan Stankovic</v>
      </c>
      <c r="I22" t="str">
        <f t="shared" si="0"/>
        <v>2024-04</v>
      </c>
      <c r="J22" s="5" t="str">
        <f t="shared" si="1"/>
        <v>Luxury</v>
      </c>
      <c r="K22" s="5" t="str">
        <f t="shared" si="2"/>
        <v>High</v>
      </c>
      <c r="L22" s="5" t="str">
        <f t="shared" si="3"/>
        <v>Yes</v>
      </c>
      <c r="M22" s="5" t="str">
        <f t="shared" si="4"/>
        <v>Ok</v>
      </c>
      <c r="N22" s="3">
        <f>_xlfn.XLOOKUP(B22, Properties!A:A, Properties!D:D, FALSE)</f>
        <v>88778</v>
      </c>
    </row>
    <row r="23" spans="1:14" x14ac:dyDescent="0.3">
      <c r="A23">
        <v>400</v>
      </c>
      <c r="B23">
        <v>197</v>
      </c>
      <c r="C23">
        <v>7</v>
      </c>
      <c r="D23" s="3">
        <v>285155</v>
      </c>
      <c r="E23" t="s">
        <v>259</v>
      </c>
      <c r="F23" s="1" t="s">
        <v>402</v>
      </c>
      <c r="G23" t="str">
        <f>_xlfn.XLOOKUP(B23, Properties!A:A, Properties!B:B, FALSE)</f>
        <v>Subotica</v>
      </c>
      <c r="H23" t="str">
        <f>_xlfn.XLOOKUP(C23, Agents!A:A, Agents!B:B, FALSE)</f>
        <v>Ana Markovic</v>
      </c>
      <c r="I23" t="str">
        <f t="shared" si="0"/>
        <v>2024-11</v>
      </c>
      <c r="J23" s="5" t="str">
        <f t="shared" si="1"/>
        <v>Luxury</v>
      </c>
      <c r="K23" s="5" t="str">
        <f t="shared" si="2"/>
        <v>High</v>
      </c>
      <c r="L23" s="5" t="str">
        <f t="shared" si="3"/>
        <v>Yes</v>
      </c>
      <c r="M23" s="5" t="str">
        <f t="shared" si="4"/>
        <v>Ok</v>
      </c>
      <c r="N23" s="3">
        <f>_xlfn.XLOOKUP(B23, Properties!A:A, Properties!D:D, FALSE)</f>
        <v>215416</v>
      </c>
    </row>
    <row r="24" spans="1:14" x14ac:dyDescent="0.3">
      <c r="A24">
        <v>123</v>
      </c>
      <c r="B24">
        <v>129</v>
      </c>
      <c r="C24">
        <v>1</v>
      </c>
      <c r="D24" s="3">
        <v>281967</v>
      </c>
      <c r="E24" t="s">
        <v>257</v>
      </c>
      <c r="F24" s="1" t="s">
        <v>233</v>
      </c>
      <c r="G24" t="str">
        <f>_xlfn.XLOOKUP(B24, Properties!A:A, Properties!B:B, FALSE)</f>
        <v>Belgrade</v>
      </c>
      <c r="H24" t="str">
        <f>_xlfn.XLOOKUP(C24, Agents!A:A, Agents!B:B, FALSE)</f>
        <v>Ana Markovic</v>
      </c>
      <c r="I24" t="str">
        <f t="shared" si="0"/>
        <v>2025-03</v>
      </c>
      <c r="J24" s="5" t="str">
        <f t="shared" si="1"/>
        <v>Luxury</v>
      </c>
      <c r="K24" s="5" t="str">
        <f t="shared" si="2"/>
        <v>High</v>
      </c>
      <c r="L24" s="5" t="str">
        <f t="shared" si="3"/>
        <v>No</v>
      </c>
      <c r="M24" s="5" t="str">
        <f t="shared" si="4"/>
        <v>Attention Needed</v>
      </c>
      <c r="N24" s="3">
        <f>_xlfn.XLOOKUP(B24, Properties!A:A, Properties!D:D, FALSE)</f>
        <v>181149</v>
      </c>
    </row>
    <row r="25" spans="1:14" x14ac:dyDescent="0.3">
      <c r="A25">
        <v>372</v>
      </c>
      <c r="B25">
        <v>194</v>
      </c>
      <c r="C25">
        <v>2</v>
      </c>
      <c r="D25" s="3">
        <v>281257</v>
      </c>
      <c r="E25" t="s">
        <v>256</v>
      </c>
      <c r="F25" s="1" t="s">
        <v>351</v>
      </c>
      <c r="G25" t="str">
        <f>_xlfn.XLOOKUP(B25, Properties!A:A, Properties!B:B, FALSE)</f>
        <v>Subotica</v>
      </c>
      <c r="H25" t="str">
        <f>_xlfn.XLOOKUP(C25, Agents!A:A, Agents!B:B, FALSE)</f>
        <v>Jelena Petrovic</v>
      </c>
      <c r="I25" t="str">
        <f t="shared" si="0"/>
        <v>2024-10</v>
      </c>
      <c r="J25" s="5" t="str">
        <f t="shared" si="1"/>
        <v>Luxury</v>
      </c>
      <c r="K25" s="5" t="str">
        <f t="shared" si="2"/>
        <v>High</v>
      </c>
      <c r="L25" s="5" t="str">
        <f t="shared" si="3"/>
        <v>No</v>
      </c>
      <c r="M25" s="5" t="str">
        <f t="shared" si="4"/>
        <v>Attention Needed</v>
      </c>
      <c r="N25" s="3">
        <f>_xlfn.XLOOKUP(B25, Properties!A:A, Properties!D:D, FALSE)</f>
        <v>162634</v>
      </c>
    </row>
    <row r="26" spans="1:14" x14ac:dyDescent="0.3">
      <c r="A26">
        <v>307</v>
      </c>
      <c r="B26">
        <v>98</v>
      </c>
      <c r="C26">
        <v>2</v>
      </c>
      <c r="D26" s="3">
        <v>281092</v>
      </c>
      <c r="E26" t="s">
        <v>257</v>
      </c>
      <c r="F26" s="1" t="s">
        <v>266</v>
      </c>
      <c r="G26" t="str">
        <f>_xlfn.XLOOKUP(B26, Properties!A:A, Properties!B:B, FALSE)</f>
        <v>Novi Sad</v>
      </c>
      <c r="H26" t="str">
        <f>_xlfn.XLOOKUP(C26, Agents!A:A, Agents!B:B, FALSE)</f>
        <v>Jelena Petrovic</v>
      </c>
      <c r="I26" t="str">
        <f t="shared" si="0"/>
        <v>2025-04</v>
      </c>
      <c r="J26" s="5" t="str">
        <f t="shared" si="1"/>
        <v>Luxury</v>
      </c>
      <c r="K26" s="5" t="str">
        <f t="shared" si="2"/>
        <v>High</v>
      </c>
      <c r="L26" s="5" t="str">
        <f t="shared" si="3"/>
        <v>No</v>
      </c>
      <c r="M26" s="5" t="str">
        <f t="shared" si="4"/>
        <v>Attention Needed</v>
      </c>
      <c r="N26" s="3">
        <f>_xlfn.XLOOKUP(B26, Properties!A:A, Properties!D:D, FALSE)</f>
        <v>60258</v>
      </c>
    </row>
    <row r="27" spans="1:14" x14ac:dyDescent="0.3">
      <c r="A27">
        <v>180</v>
      </c>
      <c r="B27">
        <v>159</v>
      </c>
      <c r="C27">
        <v>7</v>
      </c>
      <c r="D27" s="3">
        <v>280958</v>
      </c>
      <c r="E27" t="s">
        <v>257</v>
      </c>
      <c r="F27" s="1" t="s">
        <v>331</v>
      </c>
      <c r="G27" t="str">
        <f>_xlfn.XLOOKUP(B27, Properties!A:A, Properties!B:B, FALSE)</f>
        <v>Subotica</v>
      </c>
      <c r="H27" t="str">
        <f>_xlfn.XLOOKUP(C27, Agents!A:A, Agents!B:B, FALSE)</f>
        <v>Ana Markovic</v>
      </c>
      <c r="I27" t="str">
        <f t="shared" si="0"/>
        <v>2024-09</v>
      </c>
      <c r="J27" s="5" t="str">
        <f t="shared" si="1"/>
        <v>Luxury</v>
      </c>
      <c r="K27" s="5" t="str">
        <f t="shared" si="2"/>
        <v>High</v>
      </c>
      <c r="L27" s="5" t="str">
        <f t="shared" si="3"/>
        <v>No</v>
      </c>
      <c r="M27" s="5" t="str">
        <f t="shared" si="4"/>
        <v>Attention Needed</v>
      </c>
      <c r="N27" s="3">
        <f>_xlfn.XLOOKUP(B27, Properties!A:A, Properties!D:D, FALSE)</f>
        <v>50311</v>
      </c>
    </row>
    <row r="28" spans="1:14" x14ac:dyDescent="0.3">
      <c r="A28">
        <v>147</v>
      </c>
      <c r="B28">
        <v>90</v>
      </c>
      <c r="C28">
        <v>8</v>
      </c>
      <c r="D28" s="3">
        <v>280888</v>
      </c>
      <c r="E28" t="s">
        <v>257</v>
      </c>
      <c r="F28" s="1" t="s">
        <v>63</v>
      </c>
      <c r="G28" t="str">
        <f>_xlfn.XLOOKUP(B28, Properties!A:A, Properties!B:B, FALSE)</f>
        <v>Belgrade</v>
      </c>
      <c r="H28" t="str">
        <f>_xlfn.XLOOKUP(C28, Agents!A:A, Agents!B:B, FALSE)</f>
        <v>Mina Lukic</v>
      </c>
      <c r="I28" t="str">
        <f t="shared" si="0"/>
        <v>2024-11</v>
      </c>
      <c r="J28" s="5" t="str">
        <f t="shared" si="1"/>
        <v>Luxury</v>
      </c>
      <c r="K28" s="5" t="str">
        <f t="shared" si="2"/>
        <v>High</v>
      </c>
      <c r="L28" s="5" t="str">
        <f t="shared" si="3"/>
        <v>No</v>
      </c>
      <c r="M28" s="5" t="str">
        <f t="shared" si="4"/>
        <v>Attention Needed</v>
      </c>
      <c r="N28" s="3">
        <f>_xlfn.XLOOKUP(B28, Properties!A:A, Properties!D:D, FALSE)</f>
        <v>150136</v>
      </c>
    </row>
    <row r="29" spans="1:14" x14ac:dyDescent="0.3">
      <c r="A29">
        <v>230</v>
      </c>
      <c r="B29">
        <v>107</v>
      </c>
      <c r="C29">
        <v>9</v>
      </c>
      <c r="D29" s="3">
        <v>280804</v>
      </c>
      <c r="E29" t="s">
        <v>256</v>
      </c>
      <c r="F29" s="1" t="s">
        <v>331</v>
      </c>
      <c r="G29" t="str">
        <f>_xlfn.XLOOKUP(B29, Properties!A:A, Properties!B:B, FALSE)</f>
        <v>Novi Sad</v>
      </c>
      <c r="H29" t="str">
        <f>_xlfn.XLOOKUP(C29, Agents!A:A, Agents!B:B, FALSE)</f>
        <v>Ivan Stankovic</v>
      </c>
      <c r="I29" t="str">
        <f t="shared" si="0"/>
        <v>2024-09</v>
      </c>
      <c r="J29" s="5" t="str">
        <f t="shared" si="1"/>
        <v>Luxury</v>
      </c>
      <c r="K29" s="5" t="str">
        <f t="shared" si="2"/>
        <v>High</v>
      </c>
      <c r="L29" s="5" t="str">
        <f t="shared" si="3"/>
        <v>No</v>
      </c>
      <c r="M29" s="5" t="str">
        <f t="shared" si="4"/>
        <v>Attention Needed</v>
      </c>
      <c r="N29" s="3">
        <f>_xlfn.XLOOKUP(B29, Properties!A:A, Properties!D:D, FALSE)</f>
        <v>248784</v>
      </c>
    </row>
    <row r="30" spans="1:14" x14ac:dyDescent="0.3">
      <c r="A30">
        <v>265</v>
      </c>
      <c r="B30">
        <v>114</v>
      </c>
      <c r="C30">
        <v>4</v>
      </c>
      <c r="D30" s="3">
        <v>280705</v>
      </c>
      <c r="E30" t="s">
        <v>259</v>
      </c>
      <c r="F30" s="1" t="s">
        <v>150</v>
      </c>
      <c r="G30" t="str">
        <f>_xlfn.XLOOKUP(B30, Properties!A:A, Properties!B:B, FALSE)</f>
        <v>Novi Sad</v>
      </c>
      <c r="H30" t="str">
        <f>_xlfn.XLOOKUP(C30, Agents!A:A, Agents!B:B, FALSE)</f>
        <v>Marko Jovic</v>
      </c>
      <c r="I30" t="str">
        <f t="shared" si="0"/>
        <v>2024-03</v>
      </c>
      <c r="J30" s="5" t="str">
        <f t="shared" si="1"/>
        <v>Luxury</v>
      </c>
      <c r="K30" s="5" t="str">
        <f t="shared" si="2"/>
        <v>High</v>
      </c>
      <c r="L30" s="5" t="str">
        <f t="shared" si="3"/>
        <v>Yes</v>
      </c>
      <c r="M30" s="5" t="str">
        <f t="shared" si="4"/>
        <v>Ok</v>
      </c>
      <c r="N30" s="3">
        <f>_xlfn.XLOOKUP(B30, Properties!A:A, Properties!D:D, FALSE)</f>
        <v>36497</v>
      </c>
    </row>
    <row r="31" spans="1:14" x14ac:dyDescent="0.3">
      <c r="A31">
        <v>439</v>
      </c>
      <c r="B31">
        <v>49</v>
      </c>
      <c r="C31">
        <v>1</v>
      </c>
      <c r="D31" s="3">
        <v>279984</v>
      </c>
      <c r="E31" t="s">
        <v>259</v>
      </c>
      <c r="F31" s="1" t="s">
        <v>293</v>
      </c>
      <c r="G31" t="str">
        <f>_xlfn.XLOOKUP(B31, Properties!A:A, Properties!B:B, FALSE)</f>
        <v>Nis</v>
      </c>
      <c r="H31" t="str">
        <f>_xlfn.XLOOKUP(C31, Agents!A:A, Agents!B:B, FALSE)</f>
        <v>Ana Markovic</v>
      </c>
      <c r="I31" t="str">
        <f t="shared" si="0"/>
        <v>2024-02</v>
      </c>
      <c r="J31" s="5" t="str">
        <f t="shared" si="1"/>
        <v>Luxury</v>
      </c>
      <c r="K31" s="5" t="str">
        <f t="shared" si="2"/>
        <v>High</v>
      </c>
      <c r="L31" s="5" t="str">
        <f t="shared" si="3"/>
        <v>Yes</v>
      </c>
      <c r="M31" s="5" t="str">
        <f t="shared" si="4"/>
        <v>Ok</v>
      </c>
      <c r="N31" s="3">
        <f>_xlfn.XLOOKUP(B31, Properties!A:A, Properties!D:D, FALSE)</f>
        <v>99483</v>
      </c>
    </row>
    <row r="32" spans="1:14" x14ac:dyDescent="0.3">
      <c r="A32">
        <v>99</v>
      </c>
      <c r="B32">
        <v>293</v>
      </c>
      <c r="C32">
        <v>4</v>
      </c>
      <c r="D32" s="3">
        <v>279366</v>
      </c>
      <c r="E32" t="s">
        <v>256</v>
      </c>
      <c r="F32" s="1" t="s">
        <v>296</v>
      </c>
      <c r="G32" t="str">
        <f>_xlfn.XLOOKUP(B32, Properties!A:A, Properties!B:B, FALSE)</f>
        <v>Subotica</v>
      </c>
      <c r="H32" t="str">
        <f>_xlfn.XLOOKUP(C32, Agents!A:A, Agents!B:B, FALSE)</f>
        <v>Marko Jovic</v>
      </c>
      <c r="I32" t="str">
        <f t="shared" si="0"/>
        <v>2024-09</v>
      </c>
      <c r="J32" s="5" t="str">
        <f t="shared" si="1"/>
        <v>Luxury</v>
      </c>
      <c r="K32" s="5" t="str">
        <f t="shared" si="2"/>
        <v>High</v>
      </c>
      <c r="L32" s="5" t="str">
        <f t="shared" si="3"/>
        <v>No</v>
      </c>
      <c r="M32" s="5" t="str">
        <f t="shared" si="4"/>
        <v>Attention Needed</v>
      </c>
      <c r="N32" s="3">
        <f>_xlfn.XLOOKUP(B32, Properties!A:A, Properties!D:D, FALSE)</f>
        <v>193383</v>
      </c>
    </row>
    <row r="33" spans="1:14" x14ac:dyDescent="0.3">
      <c r="A33">
        <v>54</v>
      </c>
      <c r="B33">
        <v>131</v>
      </c>
      <c r="C33">
        <v>6</v>
      </c>
      <c r="D33" s="3">
        <v>278652</v>
      </c>
      <c r="E33" t="s">
        <v>259</v>
      </c>
      <c r="F33" s="1" t="s">
        <v>278</v>
      </c>
      <c r="G33" t="str">
        <f>_xlfn.XLOOKUP(B33, Properties!A:A, Properties!B:B, FALSE)</f>
        <v>Belgrade</v>
      </c>
      <c r="H33" t="str">
        <f>_xlfn.XLOOKUP(C33, Agents!A:A, Agents!B:B, FALSE)</f>
        <v>Marko Jovic</v>
      </c>
      <c r="I33" t="str">
        <f t="shared" si="0"/>
        <v>2024-02</v>
      </c>
      <c r="J33" s="5" t="str">
        <f t="shared" si="1"/>
        <v>Luxury</v>
      </c>
      <c r="K33" s="5" t="str">
        <f t="shared" si="2"/>
        <v>High</v>
      </c>
      <c r="L33" s="5" t="str">
        <f t="shared" si="3"/>
        <v>Yes</v>
      </c>
      <c r="M33" s="5" t="str">
        <f t="shared" si="4"/>
        <v>Ok</v>
      </c>
      <c r="N33" s="3">
        <f>_xlfn.XLOOKUP(B33, Properties!A:A, Properties!D:D, FALSE)</f>
        <v>125478</v>
      </c>
    </row>
    <row r="34" spans="1:14" x14ac:dyDescent="0.3">
      <c r="A34">
        <v>244</v>
      </c>
      <c r="B34">
        <v>52</v>
      </c>
      <c r="C34">
        <v>7</v>
      </c>
      <c r="D34" s="3">
        <v>277675</v>
      </c>
      <c r="E34" t="s">
        <v>256</v>
      </c>
      <c r="F34" s="1" t="s">
        <v>360</v>
      </c>
      <c r="G34" t="str">
        <f>_xlfn.XLOOKUP(B34, Properties!A:A, Properties!B:B, FALSE)</f>
        <v>Becej</v>
      </c>
      <c r="H34" t="str">
        <f>_xlfn.XLOOKUP(C34, Agents!A:A, Agents!B:B, FALSE)</f>
        <v>Ana Markovic</v>
      </c>
      <c r="I34" t="str">
        <f t="shared" si="0"/>
        <v>2024-02</v>
      </c>
      <c r="J34" s="5" t="str">
        <f t="shared" si="1"/>
        <v>Luxury</v>
      </c>
      <c r="K34" s="5" t="str">
        <f t="shared" si="2"/>
        <v>High</v>
      </c>
      <c r="L34" s="5" t="str">
        <f t="shared" si="3"/>
        <v>No</v>
      </c>
      <c r="M34" s="5" t="str">
        <f t="shared" si="4"/>
        <v>Attention Needed</v>
      </c>
      <c r="N34" s="3">
        <f>_xlfn.XLOOKUP(B34, Properties!A:A, Properties!D:D, FALSE)</f>
        <v>144845</v>
      </c>
    </row>
    <row r="35" spans="1:14" x14ac:dyDescent="0.3">
      <c r="A35">
        <v>208</v>
      </c>
      <c r="B35">
        <v>254</v>
      </c>
      <c r="C35">
        <v>10</v>
      </c>
      <c r="D35" s="3">
        <v>276723</v>
      </c>
      <c r="E35" t="s">
        <v>257</v>
      </c>
      <c r="F35" s="1" t="s">
        <v>344</v>
      </c>
      <c r="G35" t="str">
        <f>_xlfn.XLOOKUP(B35, Properties!A:A, Properties!B:B, FALSE)</f>
        <v>Novi Sad</v>
      </c>
      <c r="H35" t="str">
        <f>_xlfn.XLOOKUP(C35, Agents!A:A, Agents!B:B, FALSE)</f>
        <v>Marko Jovic</v>
      </c>
      <c r="I35" t="str">
        <f t="shared" si="0"/>
        <v>2024-05</v>
      </c>
      <c r="J35" s="5" t="str">
        <f t="shared" si="1"/>
        <v>Luxury</v>
      </c>
      <c r="K35" s="5" t="str">
        <f t="shared" si="2"/>
        <v>High</v>
      </c>
      <c r="L35" s="5" t="str">
        <f t="shared" si="3"/>
        <v>No</v>
      </c>
      <c r="M35" s="5" t="str">
        <f t="shared" si="4"/>
        <v>Attention Needed</v>
      </c>
      <c r="N35" s="3">
        <f>_xlfn.XLOOKUP(B35, Properties!A:A, Properties!D:D, FALSE)</f>
        <v>230477</v>
      </c>
    </row>
    <row r="36" spans="1:14" x14ac:dyDescent="0.3">
      <c r="A36">
        <v>132</v>
      </c>
      <c r="B36">
        <v>242</v>
      </c>
      <c r="C36">
        <v>3</v>
      </c>
      <c r="D36" s="3">
        <v>275948</v>
      </c>
      <c r="E36" t="s">
        <v>257</v>
      </c>
      <c r="F36" s="1" t="s">
        <v>16</v>
      </c>
      <c r="G36" t="str">
        <f>_xlfn.XLOOKUP(B36, Properties!A:A, Properties!B:B, FALSE)</f>
        <v>Becej</v>
      </c>
      <c r="H36" t="str">
        <f>_xlfn.XLOOKUP(C36, Agents!A:A, Agents!B:B, FALSE)</f>
        <v>Ivan Stankovic</v>
      </c>
      <c r="I36" t="str">
        <f t="shared" si="0"/>
        <v>2024-08</v>
      </c>
      <c r="J36" s="5" t="str">
        <f t="shared" si="1"/>
        <v>Luxury</v>
      </c>
      <c r="K36" s="5" t="str">
        <f t="shared" si="2"/>
        <v>High</v>
      </c>
      <c r="L36" s="5" t="str">
        <f t="shared" si="3"/>
        <v>No</v>
      </c>
      <c r="M36" s="5" t="str">
        <f t="shared" si="4"/>
        <v>Attention Needed</v>
      </c>
      <c r="N36" s="3">
        <f>_xlfn.XLOOKUP(B36, Properties!A:A, Properties!D:D, FALSE)</f>
        <v>38556</v>
      </c>
    </row>
    <row r="37" spans="1:14" x14ac:dyDescent="0.3">
      <c r="A37">
        <v>204</v>
      </c>
      <c r="B37">
        <v>82</v>
      </c>
      <c r="C37">
        <v>8</v>
      </c>
      <c r="D37" s="3">
        <v>274745</v>
      </c>
      <c r="E37" t="s">
        <v>257</v>
      </c>
      <c r="F37" s="1" t="s">
        <v>343</v>
      </c>
      <c r="G37" t="str">
        <f>_xlfn.XLOOKUP(B37, Properties!A:A, Properties!B:B, FALSE)</f>
        <v>Nis</v>
      </c>
      <c r="H37" t="str">
        <f>_xlfn.XLOOKUP(C37, Agents!A:A, Agents!B:B, FALSE)</f>
        <v>Mina Lukic</v>
      </c>
      <c r="I37" t="str">
        <f t="shared" si="0"/>
        <v>2024-09</v>
      </c>
      <c r="J37" s="5" t="str">
        <f t="shared" si="1"/>
        <v>Luxury</v>
      </c>
      <c r="K37" s="5" t="str">
        <f t="shared" si="2"/>
        <v>High</v>
      </c>
      <c r="L37" s="5" t="str">
        <f t="shared" si="3"/>
        <v>No</v>
      </c>
      <c r="M37" s="5" t="str">
        <f t="shared" si="4"/>
        <v>Attention Needed</v>
      </c>
      <c r="N37" s="3">
        <f>_xlfn.XLOOKUP(B37, Properties!A:A, Properties!D:D, FALSE)</f>
        <v>78712</v>
      </c>
    </row>
    <row r="38" spans="1:14" x14ac:dyDescent="0.3">
      <c r="A38">
        <v>497</v>
      </c>
      <c r="B38">
        <v>55</v>
      </c>
      <c r="C38">
        <v>3</v>
      </c>
      <c r="D38" s="3">
        <v>274347</v>
      </c>
      <c r="E38" t="s">
        <v>256</v>
      </c>
      <c r="F38" s="1" t="s">
        <v>81</v>
      </c>
      <c r="G38" t="str">
        <f>_xlfn.XLOOKUP(B38, Properties!A:A, Properties!B:B, FALSE)</f>
        <v>Nis</v>
      </c>
      <c r="H38" t="str">
        <f>_xlfn.XLOOKUP(C38, Agents!A:A, Agents!B:B, FALSE)</f>
        <v>Ivan Stankovic</v>
      </c>
      <c r="I38" t="str">
        <f t="shared" si="0"/>
        <v>2024-06</v>
      </c>
      <c r="J38" s="5" t="str">
        <f t="shared" si="1"/>
        <v>Luxury</v>
      </c>
      <c r="K38" s="5" t="str">
        <f t="shared" si="2"/>
        <v>High</v>
      </c>
      <c r="L38" s="5" t="str">
        <f t="shared" si="3"/>
        <v>No</v>
      </c>
      <c r="M38" s="5" t="str">
        <f t="shared" si="4"/>
        <v>Attention Needed</v>
      </c>
      <c r="N38" s="3">
        <f>_xlfn.XLOOKUP(B38, Properties!A:A, Properties!D:D, FALSE)</f>
        <v>184256</v>
      </c>
    </row>
    <row r="39" spans="1:14" x14ac:dyDescent="0.3">
      <c r="A39">
        <v>182</v>
      </c>
      <c r="B39">
        <v>163</v>
      </c>
      <c r="C39">
        <v>2</v>
      </c>
      <c r="D39" s="3">
        <v>274230</v>
      </c>
      <c r="E39" t="s">
        <v>256</v>
      </c>
      <c r="F39" s="1" t="s">
        <v>332</v>
      </c>
      <c r="G39" t="str">
        <f>_xlfn.XLOOKUP(B39, Properties!A:A, Properties!B:B, FALSE)</f>
        <v>Novi Sad</v>
      </c>
      <c r="H39" t="str">
        <f>_xlfn.XLOOKUP(C39, Agents!A:A, Agents!B:B, FALSE)</f>
        <v>Jelena Petrovic</v>
      </c>
      <c r="I39" t="str">
        <f t="shared" si="0"/>
        <v>2024-12</v>
      </c>
      <c r="J39" s="5" t="str">
        <f t="shared" si="1"/>
        <v>Luxury</v>
      </c>
      <c r="K39" s="5" t="str">
        <f t="shared" si="2"/>
        <v>High</v>
      </c>
      <c r="L39" s="5" t="str">
        <f t="shared" si="3"/>
        <v>No</v>
      </c>
      <c r="M39" s="5" t="str">
        <f t="shared" si="4"/>
        <v>Attention Needed</v>
      </c>
      <c r="N39" s="3">
        <f>_xlfn.XLOOKUP(B39, Properties!A:A, Properties!D:D, FALSE)</f>
        <v>138755</v>
      </c>
    </row>
    <row r="40" spans="1:14" x14ac:dyDescent="0.3">
      <c r="A40">
        <v>23</v>
      </c>
      <c r="B40">
        <v>114</v>
      </c>
      <c r="C40">
        <v>2</v>
      </c>
      <c r="D40" s="3">
        <v>273409</v>
      </c>
      <c r="E40" t="s">
        <v>257</v>
      </c>
      <c r="F40" s="1" t="s">
        <v>267</v>
      </c>
      <c r="G40" t="str">
        <f>_xlfn.XLOOKUP(B40, Properties!A:A, Properties!B:B, FALSE)</f>
        <v>Novi Sad</v>
      </c>
      <c r="H40" t="str">
        <f>_xlfn.XLOOKUP(C40, Agents!A:A, Agents!B:B, FALSE)</f>
        <v>Jelena Petrovic</v>
      </c>
      <c r="I40" t="str">
        <f t="shared" si="0"/>
        <v>2025-04</v>
      </c>
      <c r="J40" s="5" t="str">
        <f t="shared" si="1"/>
        <v>Luxury</v>
      </c>
      <c r="K40" s="5" t="str">
        <f t="shared" si="2"/>
        <v>High</v>
      </c>
      <c r="L40" s="5" t="str">
        <f t="shared" si="3"/>
        <v>No</v>
      </c>
      <c r="M40" s="5" t="str">
        <f t="shared" si="4"/>
        <v>Attention Needed</v>
      </c>
      <c r="N40" s="3">
        <f>_xlfn.XLOOKUP(B40, Properties!A:A, Properties!D:D, FALSE)</f>
        <v>36497</v>
      </c>
    </row>
    <row r="41" spans="1:14" x14ac:dyDescent="0.3">
      <c r="A41">
        <v>499</v>
      </c>
      <c r="B41">
        <v>107</v>
      </c>
      <c r="C41">
        <v>8</v>
      </c>
      <c r="D41" s="3">
        <v>272927</v>
      </c>
      <c r="E41" t="s">
        <v>256</v>
      </c>
      <c r="F41" s="1" t="s">
        <v>424</v>
      </c>
      <c r="G41" t="str">
        <f>_xlfn.XLOOKUP(B41, Properties!A:A, Properties!B:B, FALSE)</f>
        <v>Novi Sad</v>
      </c>
      <c r="H41" t="str">
        <f>_xlfn.XLOOKUP(C41, Agents!A:A, Agents!B:B, FALSE)</f>
        <v>Mina Lukic</v>
      </c>
      <c r="I41" t="str">
        <f t="shared" si="0"/>
        <v>2024-05</v>
      </c>
      <c r="J41" s="5" t="str">
        <f t="shared" si="1"/>
        <v>Luxury</v>
      </c>
      <c r="K41" s="5" t="str">
        <f t="shared" si="2"/>
        <v>High</v>
      </c>
      <c r="L41" s="5" t="str">
        <f t="shared" si="3"/>
        <v>No</v>
      </c>
      <c r="M41" s="5" t="str">
        <f t="shared" si="4"/>
        <v>Attention Needed</v>
      </c>
      <c r="N41" s="3">
        <f>_xlfn.XLOOKUP(B41, Properties!A:A, Properties!D:D, FALSE)</f>
        <v>248784</v>
      </c>
    </row>
    <row r="42" spans="1:14" x14ac:dyDescent="0.3">
      <c r="A42">
        <v>95</v>
      </c>
      <c r="B42">
        <v>260</v>
      </c>
      <c r="C42">
        <v>2</v>
      </c>
      <c r="D42" s="3">
        <v>272086</v>
      </c>
      <c r="E42" t="s">
        <v>256</v>
      </c>
      <c r="F42" s="1" t="s">
        <v>273</v>
      </c>
      <c r="G42" t="str">
        <f>_xlfn.XLOOKUP(B42, Properties!A:A, Properties!B:B, FALSE)</f>
        <v>Belgrade</v>
      </c>
      <c r="H42" t="str">
        <f>_xlfn.XLOOKUP(C42, Agents!A:A, Agents!B:B, FALSE)</f>
        <v>Jelena Petrovic</v>
      </c>
      <c r="I42" t="str">
        <f t="shared" si="0"/>
        <v>2024-08</v>
      </c>
      <c r="J42" s="5" t="str">
        <f t="shared" si="1"/>
        <v>Luxury</v>
      </c>
      <c r="K42" s="5" t="str">
        <f t="shared" si="2"/>
        <v>High</v>
      </c>
      <c r="L42" s="5" t="str">
        <f t="shared" si="3"/>
        <v>No</v>
      </c>
      <c r="M42" s="5" t="str">
        <f t="shared" si="4"/>
        <v>Attention Needed</v>
      </c>
      <c r="N42" s="3">
        <f>_xlfn.XLOOKUP(B42, Properties!A:A, Properties!D:D, FALSE)</f>
        <v>116456</v>
      </c>
    </row>
    <row r="43" spans="1:14" x14ac:dyDescent="0.3">
      <c r="A43">
        <v>368</v>
      </c>
      <c r="B43">
        <v>282</v>
      </c>
      <c r="C43">
        <v>1</v>
      </c>
      <c r="D43" s="3">
        <v>272022</v>
      </c>
      <c r="E43" t="s">
        <v>257</v>
      </c>
      <c r="F43" s="1" t="s">
        <v>85</v>
      </c>
      <c r="G43" t="str">
        <f>_xlfn.XLOOKUP(B43, Properties!A:A, Properties!B:B, FALSE)</f>
        <v>Nis</v>
      </c>
      <c r="H43" t="str">
        <f>_xlfn.XLOOKUP(C43, Agents!A:A, Agents!B:B, FALSE)</f>
        <v>Ana Markovic</v>
      </c>
      <c r="I43" t="str">
        <f t="shared" si="0"/>
        <v>2025-04</v>
      </c>
      <c r="J43" s="5" t="str">
        <f t="shared" si="1"/>
        <v>Luxury</v>
      </c>
      <c r="K43" s="5" t="str">
        <f t="shared" si="2"/>
        <v>High</v>
      </c>
      <c r="L43" s="5" t="str">
        <f t="shared" si="3"/>
        <v>No</v>
      </c>
      <c r="M43" s="5" t="str">
        <f t="shared" si="4"/>
        <v>Attention Needed</v>
      </c>
      <c r="N43" s="3">
        <f>_xlfn.XLOOKUP(B43, Properties!A:A, Properties!D:D, FALSE)</f>
        <v>120472</v>
      </c>
    </row>
    <row r="44" spans="1:14" x14ac:dyDescent="0.3">
      <c r="A44">
        <v>285</v>
      </c>
      <c r="B44">
        <v>195</v>
      </c>
      <c r="C44">
        <v>4</v>
      </c>
      <c r="D44" s="3">
        <v>271500</v>
      </c>
      <c r="E44" t="s">
        <v>259</v>
      </c>
      <c r="F44" s="1" t="s">
        <v>335</v>
      </c>
      <c r="G44" t="str">
        <f>_xlfn.XLOOKUP(B44, Properties!A:A, Properties!B:B, FALSE)</f>
        <v>Subotica</v>
      </c>
      <c r="H44" t="str">
        <f>_xlfn.XLOOKUP(C44, Agents!A:A, Agents!B:B, FALSE)</f>
        <v>Marko Jovic</v>
      </c>
      <c r="I44" t="str">
        <f t="shared" si="0"/>
        <v>2024-06</v>
      </c>
      <c r="J44" s="5" t="str">
        <f t="shared" si="1"/>
        <v>Luxury</v>
      </c>
      <c r="K44" s="5" t="str">
        <f t="shared" si="2"/>
        <v>High</v>
      </c>
      <c r="L44" s="5" t="str">
        <f t="shared" si="3"/>
        <v>Yes</v>
      </c>
      <c r="M44" s="5" t="str">
        <f t="shared" si="4"/>
        <v>Ok</v>
      </c>
      <c r="N44" s="3">
        <f>_xlfn.XLOOKUP(B44, Properties!A:A, Properties!D:D, FALSE)</f>
        <v>140115</v>
      </c>
    </row>
    <row r="45" spans="1:14" x14ac:dyDescent="0.3">
      <c r="A45">
        <v>83</v>
      </c>
      <c r="B45">
        <v>11</v>
      </c>
      <c r="C45">
        <v>6</v>
      </c>
      <c r="D45" s="3">
        <v>271223</v>
      </c>
      <c r="E45" t="s">
        <v>259</v>
      </c>
      <c r="F45" s="1" t="s">
        <v>290</v>
      </c>
      <c r="G45" t="str">
        <f>_xlfn.XLOOKUP(B45, Properties!A:A, Properties!B:B, FALSE)</f>
        <v>Belgrade</v>
      </c>
      <c r="H45" t="str">
        <f>_xlfn.XLOOKUP(C45, Agents!A:A, Agents!B:B, FALSE)</f>
        <v>Marko Jovic</v>
      </c>
      <c r="I45" t="str">
        <f t="shared" si="0"/>
        <v>2025-03</v>
      </c>
      <c r="J45" s="5" t="str">
        <f t="shared" si="1"/>
        <v>Luxury</v>
      </c>
      <c r="K45" s="5" t="str">
        <f t="shared" si="2"/>
        <v>High</v>
      </c>
      <c r="L45" s="5" t="str">
        <f t="shared" si="3"/>
        <v>Yes</v>
      </c>
      <c r="M45" s="5" t="str">
        <f t="shared" si="4"/>
        <v>Ok</v>
      </c>
      <c r="N45" s="3">
        <f>_xlfn.XLOOKUP(B45, Properties!A:A, Properties!D:D, FALSE)</f>
        <v>120165</v>
      </c>
    </row>
    <row r="46" spans="1:14" x14ac:dyDescent="0.3">
      <c r="A46">
        <v>231</v>
      </c>
      <c r="B46">
        <v>193</v>
      </c>
      <c r="C46">
        <v>6</v>
      </c>
      <c r="D46" s="3">
        <v>270996</v>
      </c>
      <c r="E46" t="s">
        <v>259</v>
      </c>
      <c r="F46" s="1" t="s">
        <v>50</v>
      </c>
      <c r="G46" t="str">
        <f>_xlfn.XLOOKUP(B46, Properties!A:A, Properties!B:B, FALSE)</f>
        <v>Belgrade</v>
      </c>
      <c r="H46" t="str">
        <f>_xlfn.XLOOKUP(C46, Agents!A:A, Agents!B:B, FALSE)</f>
        <v>Marko Jovic</v>
      </c>
      <c r="I46" t="str">
        <f t="shared" si="0"/>
        <v>2025-04</v>
      </c>
      <c r="J46" s="5" t="str">
        <f t="shared" si="1"/>
        <v>Luxury</v>
      </c>
      <c r="K46" s="5" t="str">
        <f t="shared" si="2"/>
        <v>High</v>
      </c>
      <c r="L46" s="5" t="str">
        <f t="shared" si="3"/>
        <v>Yes</v>
      </c>
      <c r="M46" s="5" t="str">
        <f t="shared" si="4"/>
        <v>Ok</v>
      </c>
      <c r="N46" s="3">
        <f>_xlfn.XLOOKUP(B46, Properties!A:A, Properties!D:D, FALSE)</f>
        <v>169655</v>
      </c>
    </row>
    <row r="47" spans="1:14" x14ac:dyDescent="0.3">
      <c r="A47">
        <v>254</v>
      </c>
      <c r="B47">
        <v>58</v>
      </c>
      <c r="C47">
        <v>6</v>
      </c>
      <c r="D47" s="3">
        <v>270603</v>
      </c>
      <c r="E47" t="s">
        <v>259</v>
      </c>
      <c r="F47" s="1" t="s">
        <v>175</v>
      </c>
      <c r="G47" t="str">
        <f>_xlfn.XLOOKUP(B47, Properties!A:A, Properties!B:B, FALSE)</f>
        <v>Belgrade</v>
      </c>
      <c r="H47" t="str">
        <f>_xlfn.XLOOKUP(C47, Agents!A:A, Agents!B:B, FALSE)</f>
        <v>Marko Jovic</v>
      </c>
      <c r="I47" t="str">
        <f t="shared" si="0"/>
        <v>2024-11</v>
      </c>
      <c r="J47" s="5" t="str">
        <f t="shared" si="1"/>
        <v>Luxury</v>
      </c>
      <c r="K47" s="5" t="str">
        <f t="shared" si="2"/>
        <v>High</v>
      </c>
      <c r="L47" s="5" t="str">
        <f t="shared" si="3"/>
        <v>Yes</v>
      </c>
      <c r="M47" s="5" t="str">
        <f t="shared" si="4"/>
        <v>Ok</v>
      </c>
      <c r="N47" s="3">
        <f>_xlfn.XLOOKUP(B47, Properties!A:A, Properties!D:D, FALSE)</f>
        <v>48574</v>
      </c>
    </row>
    <row r="48" spans="1:14" x14ac:dyDescent="0.3">
      <c r="A48">
        <v>427</v>
      </c>
      <c r="B48">
        <v>2</v>
      </c>
      <c r="C48">
        <v>2</v>
      </c>
      <c r="D48" s="3">
        <v>270359</v>
      </c>
      <c r="E48" t="s">
        <v>257</v>
      </c>
      <c r="F48" s="1" t="s">
        <v>402</v>
      </c>
      <c r="G48" t="str">
        <f>_xlfn.XLOOKUP(B48, Properties!A:A, Properties!B:B, FALSE)</f>
        <v>Novi Sad</v>
      </c>
      <c r="H48" t="str">
        <f>_xlfn.XLOOKUP(C48, Agents!A:A, Agents!B:B, FALSE)</f>
        <v>Jelena Petrovic</v>
      </c>
      <c r="I48" t="str">
        <f t="shared" si="0"/>
        <v>2024-11</v>
      </c>
      <c r="J48" s="5" t="str">
        <f t="shared" si="1"/>
        <v>Luxury</v>
      </c>
      <c r="K48" s="5" t="str">
        <f t="shared" si="2"/>
        <v>High</v>
      </c>
      <c r="L48" s="5" t="str">
        <f t="shared" si="3"/>
        <v>No</v>
      </c>
      <c r="M48" s="5" t="str">
        <f t="shared" si="4"/>
        <v>Attention Needed</v>
      </c>
      <c r="N48" s="3">
        <f>_xlfn.XLOOKUP(B48, Properties!A:A, Properties!D:D, FALSE)</f>
        <v>66579</v>
      </c>
    </row>
    <row r="49" spans="1:14" x14ac:dyDescent="0.3">
      <c r="A49">
        <v>395</v>
      </c>
      <c r="B49">
        <v>59</v>
      </c>
      <c r="C49">
        <v>6</v>
      </c>
      <c r="D49" s="3">
        <v>270050</v>
      </c>
      <c r="E49" t="s">
        <v>256</v>
      </c>
      <c r="F49" s="1" t="s">
        <v>401</v>
      </c>
      <c r="G49" t="str">
        <f>_xlfn.XLOOKUP(B49, Properties!A:A, Properties!B:B, FALSE)</f>
        <v>Novi Sad</v>
      </c>
      <c r="H49" t="str">
        <f>_xlfn.XLOOKUP(C49, Agents!A:A, Agents!B:B, FALSE)</f>
        <v>Marko Jovic</v>
      </c>
      <c r="I49" t="str">
        <f t="shared" si="0"/>
        <v>2024-11</v>
      </c>
      <c r="J49" s="5" t="str">
        <f t="shared" si="1"/>
        <v>Luxury</v>
      </c>
      <c r="K49" s="5" t="str">
        <f t="shared" si="2"/>
        <v>High</v>
      </c>
      <c r="L49" s="5" t="str">
        <f t="shared" si="3"/>
        <v>No</v>
      </c>
      <c r="M49" s="5" t="str">
        <f t="shared" si="4"/>
        <v>Attention Needed</v>
      </c>
      <c r="N49" s="3">
        <f>_xlfn.XLOOKUP(B49, Properties!A:A, Properties!D:D, FALSE)</f>
        <v>205368</v>
      </c>
    </row>
    <row r="50" spans="1:14" x14ac:dyDescent="0.3">
      <c r="A50">
        <v>148</v>
      </c>
      <c r="B50">
        <v>94</v>
      </c>
      <c r="C50">
        <v>3</v>
      </c>
      <c r="D50" s="3">
        <v>269955</v>
      </c>
      <c r="E50" t="s">
        <v>259</v>
      </c>
      <c r="F50" s="1" t="s">
        <v>318</v>
      </c>
      <c r="G50" t="str">
        <f>_xlfn.XLOOKUP(B50, Properties!A:A, Properties!B:B, FALSE)</f>
        <v>Subotica</v>
      </c>
      <c r="H50" t="str">
        <f>_xlfn.XLOOKUP(C50, Agents!A:A, Agents!B:B, FALSE)</f>
        <v>Ivan Stankovic</v>
      </c>
      <c r="I50" t="str">
        <f t="shared" si="0"/>
        <v>2024-01</v>
      </c>
      <c r="J50" s="5" t="str">
        <f t="shared" si="1"/>
        <v>Luxury</v>
      </c>
      <c r="K50" s="5" t="str">
        <f t="shared" si="2"/>
        <v>High</v>
      </c>
      <c r="L50" s="5" t="str">
        <f t="shared" si="3"/>
        <v>Yes</v>
      </c>
      <c r="M50" s="5" t="str">
        <f t="shared" si="4"/>
        <v>Ok</v>
      </c>
      <c r="N50" s="3">
        <f>_xlfn.XLOOKUP(B50, Properties!A:A, Properties!D:D, FALSE)</f>
        <v>144867</v>
      </c>
    </row>
    <row r="51" spans="1:14" x14ac:dyDescent="0.3">
      <c r="A51">
        <v>409</v>
      </c>
      <c r="B51">
        <v>276</v>
      </c>
      <c r="C51">
        <v>5</v>
      </c>
      <c r="D51" s="3">
        <v>269768</v>
      </c>
      <c r="E51" t="s">
        <v>259</v>
      </c>
      <c r="F51" s="1" t="s">
        <v>173</v>
      </c>
      <c r="G51" t="str">
        <f>_xlfn.XLOOKUP(B51, Properties!A:A, Properties!B:B, FALSE)</f>
        <v>Becej</v>
      </c>
      <c r="H51" t="str">
        <f>_xlfn.XLOOKUP(C51, Agents!A:A, Agents!B:B, FALSE)</f>
        <v>Mina Lukic</v>
      </c>
      <c r="I51" t="str">
        <f t="shared" si="0"/>
        <v>2024-10</v>
      </c>
      <c r="J51" s="5" t="str">
        <f t="shared" si="1"/>
        <v>Luxury</v>
      </c>
      <c r="K51" s="5" t="str">
        <f t="shared" si="2"/>
        <v>High</v>
      </c>
      <c r="L51" s="5" t="str">
        <f t="shared" si="3"/>
        <v>Yes</v>
      </c>
      <c r="M51" s="5" t="str">
        <f t="shared" si="4"/>
        <v>Ok</v>
      </c>
      <c r="N51" s="3">
        <f>_xlfn.XLOOKUP(B51, Properties!A:A, Properties!D:D, FALSE)</f>
        <v>93892</v>
      </c>
    </row>
    <row r="52" spans="1:14" x14ac:dyDescent="0.3">
      <c r="A52">
        <v>136</v>
      </c>
      <c r="B52">
        <v>123</v>
      </c>
      <c r="C52">
        <v>7</v>
      </c>
      <c r="D52" s="3">
        <v>269659</v>
      </c>
      <c r="E52" t="s">
        <v>257</v>
      </c>
      <c r="F52" s="1" t="s">
        <v>43</v>
      </c>
      <c r="G52" t="str">
        <f>_xlfn.XLOOKUP(B52, Properties!A:A, Properties!B:B, FALSE)</f>
        <v>Nis</v>
      </c>
      <c r="H52" t="str">
        <f>_xlfn.XLOOKUP(C52, Agents!A:A, Agents!B:B, FALSE)</f>
        <v>Ana Markovic</v>
      </c>
      <c r="I52" t="str">
        <f t="shared" si="0"/>
        <v>2024-02</v>
      </c>
      <c r="J52" s="5" t="str">
        <f t="shared" si="1"/>
        <v>Luxury</v>
      </c>
      <c r="K52" s="5" t="str">
        <f t="shared" si="2"/>
        <v>High</v>
      </c>
      <c r="L52" s="5" t="str">
        <f t="shared" si="3"/>
        <v>No</v>
      </c>
      <c r="M52" s="5" t="str">
        <f t="shared" si="4"/>
        <v>Attention Needed</v>
      </c>
      <c r="N52" s="3">
        <f>_xlfn.XLOOKUP(B52, Properties!A:A, Properties!D:D, FALSE)</f>
        <v>208131</v>
      </c>
    </row>
    <row r="53" spans="1:14" x14ac:dyDescent="0.3">
      <c r="A53">
        <v>217</v>
      </c>
      <c r="B53">
        <v>171</v>
      </c>
      <c r="C53">
        <v>8</v>
      </c>
      <c r="D53" s="3">
        <v>269593</v>
      </c>
      <c r="E53" t="s">
        <v>257</v>
      </c>
      <c r="F53" s="1" t="s">
        <v>203</v>
      </c>
      <c r="G53" t="str">
        <f>_xlfn.XLOOKUP(B53, Properties!A:A, Properties!B:B, FALSE)</f>
        <v>Becej</v>
      </c>
      <c r="H53" t="str">
        <f>_xlfn.XLOOKUP(C53, Agents!A:A, Agents!B:B, FALSE)</f>
        <v>Mina Lukic</v>
      </c>
      <c r="I53" t="str">
        <f t="shared" si="0"/>
        <v>2024-03</v>
      </c>
      <c r="J53" s="5" t="str">
        <f t="shared" si="1"/>
        <v>Luxury</v>
      </c>
      <c r="K53" s="5" t="str">
        <f t="shared" si="2"/>
        <v>High</v>
      </c>
      <c r="L53" s="5" t="str">
        <f t="shared" si="3"/>
        <v>No</v>
      </c>
      <c r="M53" s="5" t="str">
        <f t="shared" si="4"/>
        <v>Attention Needed</v>
      </c>
      <c r="N53" s="3">
        <f>_xlfn.XLOOKUP(B53, Properties!A:A, Properties!D:D, FALSE)</f>
        <v>205341</v>
      </c>
    </row>
    <row r="54" spans="1:14" x14ac:dyDescent="0.3">
      <c r="A54">
        <v>482</v>
      </c>
      <c r="B54">
        <v>160</v>
      </c>
      <c r="C54">
        <v>6</v>
      </c>
      <c r="D54" s="3">
        <v>269466</v>
      </c>
      <c r="E54" t="s">
        <v>259</v>
      </c>
      <c r="F54" s="1" t="s">
        <v>381</v>
      </c>
      <c r="G54" t="str">
        <f>_xlfn.XLOOKUP(B54, Properties!A:A, Properties!B:B, FALSE)</f>
        <v>Subotica</v>
      </c>
      <c r="H54" t="str">
        <f>_xlfn.XLOOKUP(C54, Agents!A:A, Agents!B:B, FALSE)</f>
        <v>Marko Jovic</v>
      </c>
      <c r="I54" t="str">
        <f t="shared" si="0"/>
        <v>2024-01</v>
      </c>
      <c r="J54" s="5" t="str">
        <f t="shared" si="1"/>
        <v>Luxury</v>
      </c>
      <c r="K54" s="5" t="str">
        <f t="shared" si="2"/>
        <v>High</v>
      </c>
      <c r="L54" s="5" t="str">
        <f t="shared" si="3"/>
        <v>Yes</v>
      </c>
      <c r="M54" s="5" t="str">
        <f t="shared" si="4"/>
        <v>Ok</v>
      </c>
      <c r="N54" s="3">
        <f>_xlfn.XLOOKUP(B54, Properties!A:A, Properties!D:D, FALSE)</f>
        <v>101228</v>
      </c>
    </row>
    <row r="55" spans="1:14" x14ac:dyDescent="0.3">
      <c r="A55">
        <v>472</v>
      </c>
      <c r="B55">
        <v>296</v>
      </c>
      <c r="C55">
        <v>2</v>
      </c>
      <c r="D55" s="3">
        <v>268654</v>
      </c>
      <c r="E55" t="s">
        <v>256</v>
      </c>
      <c r="F55" s="1" t="s">
        <v>124</v>
      </c>
      <c r="G55" t="str">
        <f>_xlfn.XLOOKUP(B55, Properties!A:A, Properties!B:B, FALSE)</f>
        <v>Becej</v>
      </c>
      <c r="H55" t="str">
        <f>_xlfn.XLOOKUP(C55, Agents!A:A, Agents!B:B, FALSE)</f>
        <v>Jelena Petrovic</v>
      </c>
      <c r="I55" t="str">
        <f t="shared" si="0"/>
        <v>2024-09</v>
      </c>
      <c r="J55" s="5" t="str">
        <f t="shared" si="1"/>
        <v>Luxury</v>
      </c>
      <c r="K55" s="5" t="str">
        <f t="shared" si="2"/>
        <v>High</v>
      </c>
      <c r="L55" s="5" t="str">
        <f t="shared" si="3"/>
        <v>No</v>
      </c>
      <c r="M55" s="5" t="str">
        <f t="shared" si="4"/>
        <v>Attention Needed</v>
      </c>
      <c r="N55" s="3">
        <f>_xlfn.XLOOKUP(B55, Properties!A:A, Properties!D:D, FALSE)</f>
        <v>191863</v>
      </c>
    </row>
    <row r="56" spans="1:14" x14ac:dyDescent="0.3">
      <c r="A56">
        <v>195</v>
      </c>
      <c r="B56">
        <v>126</v>
      </c>
      <c r="C56">
        <v>7</v>
      </c>
      <c r="D56" s="3">
        <v>267787</v>
      </c>
      <c r="E56" t="s">
        <v>256</v>
      </c>
      <c r="F56" s="1" t="s">
        <v>202</v>
      </c>
      <c r="G56" t="str">
        <f>_xlfn.XLOOKUP(B56, Properties!A:A, Properties!B:B, FALSE)</f>
        <v>Subotica</v>
      </c>
      <c r="H56" t="str">
        <f>_xlfn.XLOOKUP(C56, Agents!A:A, Agents!B:B, FALSE)</f>
        <v>Ana Markovic</v>
      </c>
      <c r="I56" t="str">
        <f t="shared" si="0"/>
        <v>2024-02</v>
      </c>
      <c r="J56" s="5" t="str">
        <f t="shared" si="1"/>
        <v>Luxury</v>
      </c>
      <c r="K56" s="5" t="str">
        <f t="shared" si="2"/>
        <v>High</v>
      </c>
      <c r="L56" s="5" t="str">
        <f t="shared" si="3"/>
        <v>No</v>
      </c>
      <c r="M56" s="5" t="str">
        <f t="shared" si="4"/>
        <v>Attention Needed</v>
      </c>
      <c r="N56" s="3">
        <f>_xlfn.XLOOKUP(B56, Properties!A:A, Properties!D:D, FALSE)</f>
        <v>58417</v>
      </c>
    </row>
    <row r="57" spans="1:14" x14ac:dyDescent="0.3">
      <c r="A57">
        <v>52</v>
      </c>
      <c r="B57">
        <v>117</v>
      </c>
      <c r="C57">
        <v>7</v>
      </c>
      <c r="D57" s="3">
        <v>267764</v>
      </c>
      <c r="E57" t="s">
        <v>256</v>
      </c>
      <c r="F57" s="1" t="s">
        <v>277</v>
      </c>
      <c r="G57" t="str">
        <f>_xlfn.XLOOKUP(B57, Properties!A:A, Properties!B:B, FALSE)</f>
        <v>Belgrade</v>
      </c>
      <c r="H57" t="str">
        <f>_xlfn.XLOOKUP(C57, Agents!A:A, Agents!B:B, FALSE)</f>
        <v>Ana Markovic</v>
      </c>
      <c r="I57" t="str">
        <f t="shared" si="0"/>
        <v>2024-07</v>
      </c>
      <c r="J57" s="5" t="str">
        <f t="shared" si="1"/>
        <v>Luxury</v>
      </c>
      <c r="K57" s="5" t="str">
        <f t="shared" si="2"/>
        <v>High</v>
      </c>
      <c r="L57" s="5" t="str">
        <f t="shared" si="3"/>
        <v>No</v>
      </c>
      <c r="M57" s="5" t="str">
        <f t="shared" si="4"/>
        <v>Attention Needed</v>
      </c>
      <c r="N57" s="3">
        <f>_xlfn.XLOOKUP(B57, Properties!A:A, Properties!D:D, FALSE)</f>
        <v>40151</v>
      </c>
    </row>
    <row r="58" spans="1:14" x14ac:dyDescent="0.3">
      <c r="A58">
        <v>273</v>
      </c>
      <c r="B58">
        <v>262</v>
      </c>
      <c r="C58">
        <v>8</v>
      </c>
      <c r="D58" s="3">
        <v>267729</v>
      </c>
      <c r="E58" t="s">
        <v>259</v>
      </c>
      <c r="F58" s="1" t="s">
        <v>219</v>
      </c>
      <c r="G58" t="str">
        <f>_xlfn.XLOOKUP(B58, Properties!A:A, Properties!B:B, FALSE)</f>
        <v>Becej</v>
      </c>
      <c r="H58" t="str">
        <f>_xlfn.XLOOKUP(C58, Agents!A:A, Agents!B:B, FALSE)</f>
        <v>Mina Lukic</v>
      </c>
      <c r="I58" t="str">
        <f t="shared" si="0"/>
        <v>2024-03</v>
      </c>
      <c r="J58" s="5" t="str">
        <f t="shared" si="1"/>
        <v>Luxury</v>
      </c>
      <c r="K58" s="5" t="str">
        <f t="shared" si="2"/>
        <v>High</v>
      </c>
      <c r="L58" s="5" t="str">
        <f t="shared" si="3"/>
        <v>Yes</v>
      </c>
      <c r="M58" s="5" t="str">
        <f t="shared" si="4"/>
        <v>Ok</v>
      </c>
      <c r="N58" s="3">
        <f>_xlfn.XLOOKUP(B58, Properties!A:A, Properties!D:D, FALSE)</f>
        <v>149229</v>
      </c>
    </row>
    <row r="59" spans="1:14" x14ac:dyDescent="0.3">
      <c r="A59">
        <v>424</v>
      </c>
      <c r="B59">
        <v>138</v>
      </c>
      <c r="C59">
        <v>7</v>
      </c>
      <c r="D59" s="3">
        <v>266973</v>
      </c>
      <c r="E59" t="s">
        <v>256</v>
      </c>
      <c r="F59" s="1" t="s">
        <v>106</v>
      </c>
      <c r="G59" t="str">
        <f>_xlfn.XLOOKUP(B59, Properties!A:A, Properties!B:B, FALSE)</f>
        <v>Belgrade</v>
      </c>
      <c r="H59" t="str">
        <f>_xlfn.XLOOKUP(C59, Agents!A:A, Agents!B:B, FALSE)</f>
        <v>Ana Markovic</v>
      </c>
      <c r="I59" t="str">
        <f t="shared" si="0"/>
        <v>2024-02</v>
      </c>
      <c r="J59" s="5" t="str">
        <f t="shared" si="1"/>
        <v>Luxury</v>
      </c>
      <c r="K59" s="5" t="str">
        <f t="shared" si="2"/>
        <v>High</v>
      </c>
      <c r="L59" s="5" t="str">
        <f t="shared" si="3"/>
        <v>No</v>
      </c>
      <c r="M59" s="5" t="str">
        <f t="shared" si="4"/>
        <v>Attention Needed</v>
      </c>
      <c r="N59" s="3">
        <f>_xlfn.XLOOKUP(B59, Properties!A:A, Properties!D:D, FALSE)</f>
        <v>105212</v>
      </c>
    </row>
    <row r="60" spans="1:14" x14ac:dyDescent="0.3">
      <c r="A60">
        <v>51</v>
      </c>
      <c r="B60">
        <v>283</v>
      </c>
      <c r="C60">
        <v>4</v>
      </c>
      <c r="D60" s="3">
        <v>266744</v>
      </c>
      <c r="E60" t="s">
        <v>256</v>
      </c>
      <c r="F60" s="1" t="s">
        <v>276</v>
      </c>
      <c r="G60" t="str">
        <f>_xlfn.XLOOKUP(B60, Properties!A:A, Properties!B:B, FALSE)</f>
        <v>Nis</v>
      </c>
      <c r="H60" t="str">
        <f>_xlfn.XLOOKUP(C60, Agents!A:A, Agents!B:B, FALSE)</f>
        <v>Marko Jovic</v>
      </c>
      <c r="I60" t="str">
        <f t="shared" si="0"/>
        <v>2025-03</v>
      </c>
      <c r="J60" s="5" t="str">
        <f t="shared" si="1"/>
        <v>Luxury</v>
      </c>
      <c r="K60" s="5" t="str">
        <f t="shared" si="2"/>
        <v>High</v>
      </c>
      <c r="L60" s="5" t="str">
        <f t="shared" si="3"/>
        <v>No</v>
      </c>
      <c r="M60" s="5" t="str">
        <f t="shared" si="4"/>
        <v>Attention Needed</v>
      </c>
      <c r="N60" s="3">
        <f>_xlfn.XLOOKUP(B60, Properties!A:A, Properties!D:D, FALSE)</f>
        <v>149365</v>
      </c>
    </row>
    <row r="61" spans="1:14" x14ac:dyDescent="0.3">
      <c r="A61">
        <v>125</v>
      </c>
      <c r="B61">
        <v>43</v>
      </c>
      <c r="C61">
        <v>3</v>
      </c>
      <c r="D61" s="3">
        <v>265572</v>
      </c>
      <c r="E61" t="s">
        <v>256</v>
      </c>
      <c r="F61" s="1" t="s">
        <v>64</v>
      </c>
      <c r="G61" t="str">
        <f>_xlfn.XLOOKUP(B61, Properties!A:A, Properties!B:B, FALSE)</f>
        <v>Novi Sad</v>
      </c>
      <c r="H61" t="str">
        <f>_xlfn.XLOOKUP(C61, Agents!A:A, Agents!B:B, FALSE)</f>
        <v>Ivan Stankovic</v>
      </c>
      <c r="I61" t="str">
        <f t="shared" si="0"/>
        <v>2025-04</v>
      </c>
      <c r="J61" s="5" t="str">
        <f t="shared" si="1"/>
        <v>Luxury</v>
      </c>
      <c r="K61" s="5" t="str">
        <f t="shared" si="2"/>
        <v>High</v>
      </c>
      <c r="L61" s="5" t="str">
        <f t="shared" si="3"/>
        <v>No</v>
      </c>
      <c r="M61" s="5" t="str">
        <f t="shared" si="4"/>
        <v>Attention Needed</v>
      </c>
      <c r="N61" s="3">
        <f>_xlfn.XLOOKUP(B61, Properties!A:A, Properties!D:D, FALSE)</f>
        <v>187009</v>
      </c>
    </row>
    <row r="62" spans="1:14" x14ac:dyDescent="0.3">
      <c r="A62">
        <v>268</v>
      </c>
      <c r="B62">
        <v>127</v>
      </c>
      <c r="C62">
        <v>10</v>
      </c>
      <c r="D62" s="3">
        <v>264224</v>
      </c>
      <c r="E62" t="s">
        <v>259</v>
      </c>
      <c r="F62" s="1" t="s">
        <v>59</v>
      </c>
      <c r="G62" t="str">
        <f>_xlfn.XLOOKUP(B62, Properties!A:A, Properties!B:B, FALSE)</f>
        <v>Becej</v>
      </c>
      <c r="H62" t="str">
        <f>_xlfn.XLOOKUP(C62, Agents!A:A, Agents!B:B, FALSE)</f>
        <v>Marko Jovic</v>
      </c>
      <c r="I62" t="str">
        <f t="shared" si="0"/>
        <v>2024-09</v>
      </c>
      <c r="J62" s="5" t="str">
        <f t="shared" si="1"/>
        <v>Luxury</v>
      </c>
      <c r="K62" s="5" t="str">
        <f t="shared" si="2"/>
        <v>High</v>
      </c>
      <c r="L62" s="5" t="str">
        <f t="shared" si="3"/>
        <v>Yes</v>
      </c>
      <c r="M62" s="5" t="str">
        <f t="shared" si="4"/>
        <v>Ok</v>
      </c>
      <c r="N62" s="3">
        <f>_xlfn.XLOOKUP(B62, Properties!A:A, Properties!D:D, FALSE)</f>
        <v>220983</v>
      </c>
    </row>
    <row r="63" spans="1:14" x14ac:dyDescent="0.3">
      <c r="A63">
        <v>173</v>
      </c>
      <c r="B63">
        <v>38</v>
      </c>
      <c r="C63">
        <v>8</v>
      </c>
      <c r="D63" s="3">
        <v>263366</v>
      </c>
      <c r="E63" t="s">
        <v>259</v>
      </c>
      <c r="F63" s="1" t="s">
        <v>329</v>
      </c>
      <c r="G63" t="str">
        <f>_xlfn.XLOOKUP(B63, Properties!A:A, Properties!B:B, FALSE)</f>
        <v>Subotica</v>
      </c>
      <c r="H63" t="str">
        <f>_xlfn.XLOOKUP(C63, Agents!A:A, Agents!B:B, FALSE)</f>
        <v>Mina Lukic</v>
      </c>
      <c r="I63" t="str">
        <f t="shared" si="0"/>
        <v>2024-02</v>
      </c>
      <c r="J63" s="5" t="str">
        <f t="shared" si="1"/>
        <v>Luxury</v>
      </c>
      <c r="K63" s="5" t="str">
        <f t="shared" si="2"/>
        <v>High</v>
      </c>
      <c r="L63" s="5" t="str">
        <f t="shared" si="3"/>
        <v>Yes</v>
      </c>
      <c r="M63" s="5" t="str">
        <f t="shared" si="4"/>
        <v>Ok</v>
      </c>
      <c r="N63" s="3">
        <f>_xlfn.XLOOKUP(B63, Properties!A:A, Properties!D:D, FALSE)</f>
        <v>106939</v>
      </c>
    </row>
    <row r="64" spans="1:14" x14ac:dyDescent="0.3">
      <c r="A64">
        <v>440</v>
      </c>
      <c r="B64">
        <v>68</v>
      </c>
      <c r="C64">
        <v>10</v>
      </c>
      <c r="D64" s="3">
        <v>263343</v>
      </c>
      <c r="E64" t="s">
        <v>259</v>
      </c>
      <c r="F64" s="1" t="s">
        <v>381</v>
      </c>
      <c r="G64" t="str">
        <f>_xlfn.XLOOKUP(B64, Properties!A:A, Properties!B:B, FALSE)</f>
        <v>Novi Sad</v>
      </c>
      <c r="H64" t="str">
        <f>_xlfn.XLOOKUP(C64, Agents!A:A, Agents!B:B, FALSE)</f>
        <v>Marko Jovic</v>
      </c>
      <c r="I64" t="str">
        <f t="shared" si="0"/>
        <v>2024-01</v>
      </c>
      <c r="J64" s="5" t="str">
        <f t="shared" si="1"/>
        <v>Luxury</v>
      </c>
      <c r="K64" s="5" t="str">
        <f t="shared" si="2"/>
        <v>High</v>
      </c>
      <c r="L64" s="5" t="str">
        <f t="shared" si="3"/>
        <v>Yes</v>
      </c>
      <c r="M64" s="5" t="str">
        <f t="shared" si="4"/>
        <v>Ok</v>
      </c>
      <c r="N64" s="3">
        <f>_xlfn.XLOOKUP(B64, Properties!A:A, Properties!D:D, FALSE)</f>
        <v>151275</v>
      </c>
    </row>
    <row r="65" spans="1:14" x14ac:dyDescent="0.3">
      <c r="A65">
        <v>406</v>
      </c>
      <c r="B65">
        <v>252</v>
      </c>
      <c r="C65">
        <v>7</v>
      </c>
      <c r="D65" s="3">
        <v>262706</v>
      </c>
      <c r="E65" t="s">
        <v>257</v>
      </c>
      <c r="F65" s="1" t="s">
        <v>102</v>
      </c>
      <c r="G65" t="str">
        <f>_xlfn.XLOOKUP(B65, Properties!A:A, Properties!B:B, FALSE)</f>
        <v>Nis</v>
      </c>
      <c r="H65" t="str">
        <f>_xlfn.XLOOKUP(C65, Agents!A:A, Agents!B:B, FALSE)</f>
        <v>Ana Markovic</v>
      </c>
      <c r="I65" t="str">
        <f t="shared" si="0"/>
        <v>2024-09</v>
      </c>
      <c r="J65" s="5" t="str">
        <f t="shared" si="1"/>
        <v>Luxury</v>
      </c>
      <c r="K65" s="5" t="str">
        <f t="shared" si="2"/>
        <v>High</v>
      </c>
      <c r="L65" s="5" t="str">
        <f t="shared" si="3"/>
        <v>No</v>
      </c>
      <c r="M65" s="5" t="str">
        <f t="shared" si="4"/>
        <v>Attention Needed</v>
      </c>
      <c r="N65" s="3">
        <f>_xlfn.XLOOKUP(B65, Properties!A:A, Properties!D:D, FALSE)</f>
        <v>143253</v>
      </c>
    </row>
    <row r="66" spans="1:14" x14ac:dyDescent="0.3">
      <c r="A66">
        <v>447</v>
      </c>
      <c r="B66">
        <v>78</v>
      </c>
      <c r="C66">
        <v>7</v>
      </c>
      <c r="D66" s="3">
        <v>261936</v>
      </c>
      <c r="E66" t="s">
        <v>257</v>
      </c>
      <c r="F66" s="1" t="s">
        <v>45</v>
      </c>
      <c r="G66" t="str">
        <f>_xlfn.XLOOKUP(B66, Properties!A:A, Properties!B:B, FALSE)</f>
        <v>Subotica</v>
      </c>
      <c r="H66" t="str">
        <f>_xlfn.XLOOKUP(C66, Agents!A:A, Agents!B:B, FALSE)</f>
        <v>Ana Markovic</v>
      </c>
      <c r="I66" t="str">
        <f t="shared" ref="I66:I129" si="5">TEXT(F66, "YYYY-MM")</f>
        <v>2025-03</v>
      </c>
      <c r="J66" s="5" t="str">
        <f t="shared" ref="J66:J129" si="6">IF(D66&gt;200000, "Luxury", "Standard")</f>
        <v>Luxury</v>
      </c>
      <c r="K66" s="5" t="str">
        <f t="shared" ref="K66:K129" si="7">IF(D66&gt;250000, "High", IF(D66&gt;150000, "Medium", "Low"))</f>
        <v>High</v>
      </c>
      <c r="L66" s="5" t="str">
        <f t="shared" ref="L66:L129" si="8">IF(AND(E66="Sold", D66&gt;200000), "Yes", "No")</f>
        <v>No</v>
      </c>
      <c r="M66" s="5" t="str">
        <f t="shared" ref="M66:M129" si="9">IF(OR(E66="Pending", E66="Cancelled"), "Attention Needed", "Ok")</f>
        <v>Attention Needed</v>
      </c>
      <c r="N66" s="3">
        <f>_xlfn.XLOOKUP(B66, Properties!A:A, Properties!D:D, FALSE)</f>
        <v>45331</v>
      </c>
    </row>
    <row r="67" spans="1:14" x14ac:dyDescent="0.3">
      <c r="A67">
        <v>239</v>
      </c>
      <c r="B67">
        <v>148</v>
      </c>
      <c r="C67">
        <v>2</v>
      </c>
      <c r="D67" s="3">
        <v>261932</v>
      </c>
      <c r="E67" t="s">
        <v>256</v>
      </c>
      <c r="F67" s="1" t="s">
        <v>36</v>
      </c>
      <c r="G67" t="str">
        <f>_xlfn.XLOOKUP(B67, Properties!A:A, Properties!B:B, FALSE)</f>
        <v>Becej</v>
      </c>
      <c r="H67" t="str">
        <f>_xlfn.XLOOKUP(C67, Agents!A:A, Agents!B:B, FALSE)</f>
        <v>Jelena Petrovic</v>
      </c>
      <c r="I67" t="str">
        <f t="shared" si="5"/>
        <v>2024-12</v>
      </c>
      <c r="J67" s="5" t="str">
        <f t="shared" si="6"/>
        <v>Luxury</v>
      </c>
      <c r="K67" s="5" t="str">
        <f t="shared" si="7"/>
        <v>High</v>
      </c>
      <c r="L67" s="5" t="str">
        <f t="shared" si="8"/>
        <v>No</v>
      </c>
      <c r="M67" s="5" t="str">
        <f t="shared" si="9"/>
        <v>Attention Needed</v>
      </c>
      <c r="N67" s="3">
        <f>_xlfn.XLOOKUP(B67, Properties!A:A, Properties!D:D, FALSE)</f>
        <v>134766</v>
      </c>
    </row>
    <row r="68" spans="1:14" x14ac:dyDescent="0.3">
      <c r="A68">
        <v>11</v>
      </c>
      <c r="B68">
        <v>50</v>
      </c>
      <c r="C68">
        <v>1</v>
      </c>
      <c r="D68" s="3">
        <v>261118</v>
      </c>
      <c r="E68" t="s">
        <v>256</v>
      </c>
      <c r="F68" s="1" t="s">
        <v>262</v>
      </c>
      <c r="G68" t="str">
        <f>_xlfn.XLOOKUP(B68, Properties!A:A, Properties!B:B, FALSE)</f>
        <v>Nis</v>
      </c>
      <c r="H68" t="str">
        <f>_xlfn.XLOOKUP(C68, Agents!A:A, Agents!B:B, FALSE)</f>
        <v>Ana Markovic</v>
      </c>
      <c r="I68" t="str">
        <f t="shared" si="5"/>
        <v>2024-01</v>
      </c>
      <c r="J68" s="5" t="str">
        <f t="shared" si="6"/>
        <v>Luxury</v>
      </c>
      <c r="K68" s="5" t="str">
        <f t="shared" si="7"/>
        <v>High</v>
      </c>
      <c r="L68" s="5" t="str">
        <f t="shared" si="8"/>
        <v>No</v>
      </c>
      <c r="M68" s="5" t="str">
        <f t="shared" si="9"/>
        <v>Attention Needed</v>
      </c>
      <c r="N68" s="3">
        <f>_xlfn.XLOOKUP(B68, Properties!A:A, Properties!D:D, FALSE)</f>
        <v>85521</v>
      </c>
    </row>
    <row r="69" spans="1:14" x14ac:dyDescent="0.3">
      <c r="A69">
        <v>120</v>
      </c>
      <c r="B69">
        <v>241</v>
      </c>
      <c r="C69">
        <v>4</v>
      </c>
      <c r="D69" s="3">
        <v>260999</v>
      </c>
      <c r="E69" t="s">
        <v>256</v>
      </c>
      <c r="F69" s="1" t="s">
        <v>308</v>
      </c>
      <c r="G69" t="str">
        <f>_xlfn.XLOOKUP(B69, Properties!A:A, Properties!B:B, FALSE)</f>
        <v>Becej</v>
      </c>
      <c r="H69" t="str">
        <f>_xlfn.XLOOKUP(C69, Agents!A:A, Agents!B:B, FALSE)</f>
        <v>Marko Jovic</v>
      </c>
      <c r="I69" t="str">
        <f t="shared" si="5"/>
        <v>2024-08</v>
      </c>
      <c r="J69" s="5" t="str">
        <f t="shared" si="6"/>
        <v>Luxury</v>
      </c>
      <c r="K69" s="5" t="str">
        <f t="shared" si="7"/>
        <v>High</v>
      </c>
      <c r="L69" s="5" t="str">
        <f t="shared" si="8"/>
        <v>No</v>
      </c>
      <c r="M69" s="5" t="str">
        <f t="shared" si="9"/>
        <v>Attention Needed</v>
      </c>
      <c r="N69" s="3">
        <f>_xlfn.XLOOKUP(B69, Properties!A:A, Properties!D:D, FALSE)</f>
        <v>210714</v>
      </c>
    </row>
    <row r="70" spans="1:14" x14ac:dyDescent="0.3">
      <c r="A70">
        <v>414</v>
      </c>
      <c r="B70">
        <v>135</v>
      </c>
      <c r="C70">
        <v>6</v>
      </c>
      <c r="D70" s="3">
        <v>260199</v>
      </c>
      <c r="E70" t="s">
        <v>259</v>
      </c>
      <c r="F70" s="1" t="s">
        <v>28</v>
      </c>
      <c r="G70" t="str">
        <f>_xlfn.XLOOKUP(B70, Properties!A:A, Properties!B:B, FALSE)</f>
        <v>Subotica</v>
      </c>
      <c r="H70" t="str">
        <f>_xlfn.XLOOKUP(C70, Agents!A:A, Agents!B:B, FALSE)</f>
        <v>Marko Jovic</v>
      </c>
      <c r="I70" t="str">
        <f t="shared" si="5"/>
        <v>2025-03</v>
      </c>
      <c r="J70" s="5" t="str">
        <f t="shared" si="6"/>
        <v>Luxury</v>
      </c>
      <c r="K70" s="5" t="str">
        <f t="shared" si="7"/>
        <v>High</v>
      </c>
      <c r="L70" s="5" t="str">
        <f t="shared" si="8"/>
        <v>Yes</v>
      </c>
      <c r="M70" s="5" t="str">
        <f t="shared" si="9"/>
        <v>Ok</v>
      </c>
      <c r="N70" s="3">
        <f>_xlfn.XLOOKUP(B70, Properties!A:A, Properties!D:D, FALSE)</f>
        <v>80289</v>
      </c>
    </row>
    <row r="71" spans="1:14" x14ac:dyDescent="0.3">
      <c r="A71">
        <v>464</v>
      </c>
      <c r="B71">
        <v>34</v>
      </c>
      <c r="C71">
        <v>5</v>
      </c>
      <c r="D71" s="3">
        <v>259368</v>
      </c>
      <c r="E71" t="s">
        <v>257</v>
      </c>
      <c r="F71" s="1" t="s">
        <v>32</v>
      </c>
      <c r="G71" t="str">
        <f>_xlfn.XLOOKUP(B71, Properties!A:A, Properties!B:B, FALSE)</f>
        <v>Becej</v>
      </c>
      <c r="H71" t="str">
        <f>_xlfn.XLOOKUP(C71, Agents!A:A, Agents!B:B, FALSE)</f>
        <v>Mina Lukic</v>
      </c>
      <c r="I71" t="str">
        <f t="shared" si="5"/>
        <v>2025-01</v>
      </c>
      <c r="J71" s="5" t="str">
        <f t="shared" si="6"/>
        <v>Luxury</v>
      </c>
      <c r="K71" s="5" t="str">
        <f t="shared" si="7"/>
        <v>High</v>
      </c>
      <c r="L71" s="5" t="str">
        <f t="shared" si="8"/>
        <v>No</v>
      </c>
      <c r="M71" s="5" t="str">
        <f t="shared" si="9"/>
        <v>Attention Needed</v>
      </c>
      <c r="N71" s="3">
        <f>_xlfn.XLOOKUP(B71, Properties!A:A, Properties!D:D, FALSE)</f>
        <v>186208</v>
      </c>
    </row>
    <row r="72" spans="1:14" x14ac:dyDescent="0.3">
      <c r="A72">
        <v>333</v>
      </c>
      <c r="B72">
        <v>88</v>
      </c>
      <c r="C72">
        <v>2</v>
      </c>
      <c r="D72" s="3">
        <v>257493</v>
      </c>
      <c r="E72" t="s">
        <v>256</v>
      </c>
      <c r="F72" s="1" t="s">
        <v>384</v>
      </c>
      <c r="G72" t="str">
        <f>_xlfn.XLOOKUP(B72, Properties!A:A, Properties!B:B, FALSE)</f>
        <v>Subotica</v>
      </c>
      <c r="H72" t="str">
        <f>_xlfn.XLOOKUP(C72, Agents!A:A, Agents!B:B, FALSE)</f>
        <v>Jelena Petrovic</v>
      </c>
      <c r="I72" t="str">
        <f t="shared" si="5"/>
        <v>2024-11</v>
      </c>
      <c r="J72" s="5" t="str">
        <f t="shared" si="6"/>
        <v>Luxury</v>
      </c>
      <c r="K72" s="5" t="str">
        <f t="shared" si="7"/>
        <v>High</v>
      </c>
      <c r="L72" s="5" t="str">
        <f t="shared" si="8"/>
        <v>No</v>
      </c>
      <c r="M72" s="5" t="str">
        <f t="shared" si="9"/>
        <v>Attention Needed</v>
      </c>
      <c r="N72" s="3">
        <f>_xlfn.XLOOKUP(B72, Properties!A:A, Properties!D:D, FALSE)</f>
        <v>99629</v>
      </c>
    </row>
    <row r="73" spans="1:14" x14ac:dyDescent="0.3">
      <c r="A73">
        <v>55</v>
      </c>
      <c r="B73">
        <v>47</v>
      </c>
      <c r="C73">
        <v>2</v>
      </c>
      <c r="D73" s="3">
        <v>256427</v>
      </c>
      <c r="E73" t="s">
        <v>259</v>
      </c>
      <c r="F73" s="1" t="s">
        <v>268</v>
      </c>
      <c r="G73" t="str">
        <f>_xlfn.XLOOKUP(B73, Properties!A:A, Properties!B:B, FALSE)</f>
        <v>Becej</v>
      </c>
      <c r="H73" t="str">
        <f>_xlfn.XLOOKUP(C73, Agents!A:A, Agents!B:B, FALSE)</f>
        <v>Jelena Petrovic</v>
      </c>
      <c r="I73" t="str">
        <f t="shared" si="5"/>
        <v>2024-02</v>
      </c>
      <c r="J73" s="5" t="str">
        <f t="shared" si="6"/>
        <v>Luxury</v>
      </c>
      <c r="K73" s="5" t="str">
        <f t="shared" si="7"/>
        <v>High</v>
      </c>
      <c r="L73" s="5" t="str">
        <f t="shared" si="8"/>
        <v>Yes</v>
      </c>
      <c r="M73" s="5" t="str">
        <f t="shared" si="9"/>
        <v>Ok</v>
      </c>
      <c r="N73" s="3">
        <f>_xlfn.XLOOKUP(B73, Properties!A:A, Properties!D:D, FALSE)</f>
        <v>229387</v>
      </c>
    </row>
    <row r="74" spans="1:14" x14ac:dyDescent="0.3">
      <c r="A74">
        <v>209</v>
      </c>
      <c r="B74">
        <v>275</v>
      </c>
      <c r="C74">
        <v>1</v>
      </c>
      <c r="D74" s="3">
        <v>255930</v>
      </c>
      <c r="E74" t="s">
        <v>259</v>
      </c>
      <c r="F74" s="1" t="s">
        <v>140</v>
      </c>
      <c r="G74" t="str">
        <f>_xlfn.XLOOKUP(B74, Properties!A:A, Properties!B:B, FALSE)</f>
        <v>Nis</v>
      </c>
      <c r="H74" t="str">
        <f>_xlfn.XLOOKUP(C74, Agents!A:A, Agents!B:B, FALSE)</f>
        <v>Ana Markovic</v>
      </c>
      <c r="I74" t="str">
        <f t="shared" si="5"/>
        <v>2024-03</v>
      </c>
      <c r="J74" s="5" t="str">
        <f t="shared" si="6"/>
        <v>Luxury</v>
      </c>
      <c r="K74" s="5" t="str">
        <f t="shared" si="7"/>
        <v>High</v>
      </c>
      <c r="L74" s="5" t="str">
        <f t="shared" si="8"/>
        <v>Yes</v>
      </c>
      <c r="M74" s="5" t="str">
        <f t="shared" si="9"/>
        <v>Ok</v>
      </c>
      <c r="N74" s="3">
        <f>_xlfn.XLOOKUP(B74, Properties!A:A, Properties!D:D, FALSE)</f>
        <v>138918</v>
      </c>
    </row>
    <row r="75" spans="1:14" x14ac:dyDescent="0.3">
      <c r="A75">
        <v>362</v>
      </c>
      <c r="B75">
        <v>169</v>
      </c>
      <c r="C75">
        <v>8</v>
      </c>
      <c r="D75" s="3">
        <v>255766</v>
      </c>
      <c r="E75" t="s">
        <v>256</v>
      </c>
      <c r="F75" s="1" t="s">
        <v>319</v>
      </c>
      <c r="G75" t="str">
        <f>_xlfn.XLOOKUP(B75, Properties!A:A, Properties!B:B, FALSE)</f>
        <v>Becej</v>
      </c>
      <c r="H75" t="str">
        <f>_xlfn.XLOOKUP(C75, Agents!A:A, Agents!B:B, FALSE)</f>
        <v>Mina Lukic</v>
      </c>
      <c r="I75" t="str">
        <f t="shared" si="5"/>
        <v>2025-02</v>
      </c>
      <c r="J75" s="5" t="str">
        <f t="shared" si="6"/>
        <v>Luxury</v>
      </c>
      <c r="K75" s="5" t="str">
        <f t="shared" si="7"/>
        <v>High</v>
      </c>
      <c r="L75" s="5" t="str">
        <f t="shared" si="8"/>
        <v>No</v>
      </c>
      <c r="M75" s="5" t="str">
        <f t="shared" si="9"/>
        <v>Attention Needed</v>
      </c>
      <c r="N75" s="3">
        <f>_xlfn.XLOOKUP(B75, Properties!A:A, Properties!D:D, FALSE)</f>
        <v>157986</v>
      </c>
    </row>
    <row r="76" spans="1:14" x14ac:dyDescent="0.3">
      <c r="A76">
        <v>73</v>
      </c>
      <c r="B76">
        <v>263</v>
      </c>
      <c r="C76">
        <v>2</v>
      </c>
      <c r="D76" s="3">
        <v>255398</v>
      </c>
      <c r="E76" t="s">
        <v>256</v>
      </c>
      <c r="F76" s="1" t="s">
        <v>286</v>
      </c>
      <c r="G76" t="str">
        <f>_xlfn.XLOOKUP(B76, Properties!A:A, Properties!B:B, FALSE)</f>
        <v>Subotica</v>
      </c>
      <c r="H76" t="str">
        <f>_xlfn.XLOOKUP(C76, Agents!A:A, Agents!B:B, FALSE)</f>
        <v>Jelena Petrovic</v>
      </c>
      <c r="I76" t="str">
        <f t="shared" si="5"/>
        <v>2024-02</v>
      </c>
      <c r="J76" s="5" t="str">
        <f t="shared" si="6"/>
        <v>Luxury</v>
      </c>
      <c r="K76" s="5" t="str">
        <f t="shared" si="7"/>
        <v>High</v>
      </c>
      <c r="L76" s="5" t="str">
        <f t="shared" si="8"/>
        <v>No</v>
      </c>
      <c r="M76" s="5" t="str">
        <f t="shared" si="9"/>
        <v>Attention Needed</v>
      </c>
      <c r="N76" s="3">
        <f>_xlfn.XLOOKUP(B76, Properties!A:A, Properties!D:D, FALSE)</f>
        <v>114744</v>
      </c>
    </row>
    <row r="77" spans="1:14" x14ac:dyDescent="0.3">
      <c r="A77">
        <v>81</v>
      </c>
      <c r="B77">
        <v>40</v>
      </c>
      <c r="C77">
        <v>6</v>
      </c>
      <c r="D77" s="3">
        <v>255068</v>
      </c>
      <c r="E77" t="s">
        <v>257</v>
      </c>
      <c r="F77" s="1" t="s">
        <v>281</v>
      </c>
      <c r="G77" t="str">
        <f>_xlfn.XLOOKUP(B77, Properties!A:A, Properties!B:B, FALSE)</f>
        <v>Subotica</v>
      </c>
      <c r="H77" t="str">
        <f>_xlfn.XLOOKUP(C77, Agents!A:A, Agents!B:B, FALSE)</f>
        <v>Marko Jovic</v>
      </c>
      <c r="I77" t="str">
        <f t="shared" si="5"/>
        <v>2024-10</v>
      </c>
      <c r="J77" s="5" t="str">
        <f t="shared" si="6"/>
        <v>Luxury</v>
      </c>
      <c r="K77" s="5" t="str">
        <f t="shared" si="7"/>
        <v>High</v>
      </c>
      <c r="L77" s="5" t="str">
        <f t="shared" si="8"/>
        <v>No</v>
      </c>
      <c r="M77" s="5" t="str">
        <f t="shared" si="9"/>
        <v>Attention Needed</v>
      </c>
      <c r="N77" s="3">
        <f>_xlfn.XLOOKUP(B77, Properties!A:A, Properties!D:D, FALSE)</f>
        <v>163085</v>
      </c>
    </row>
    <row r="78" spans="1:14" x14ac:dyDescent="0.3">
      <c r="A78">
        <v>53</v>
      </c>
      <c r="B78">
        <v>213</v>
      </c>
      <c r="C78">
        <v>2</v>
      </c>
      <c r="D78" s="3">
        <v>253747</v>
      </c>
      <c r="E78" t="s">
        <v>256</v>
      </c>
      <c r="F78" s="1" t="s">
        <v>81</v>
      </c>
      <c r="G78" t="str">
        <f>_xlfn.XLOOKUP(B78, Properties!A:A, Properties!B:B, FALSE)</f>
        <v>Novi Sad</v>
      </c>
      <c r="H78" t="str">
        <f>_xlfn.XLOOKUP(C78, Agents!A:A, Agents!B:B, FALSE)</f>
        <v>Jelena Petrovic</v>
      </c>
      <c r="I78" t="str">
        <f t="shared" si="5"/>
        <v>2024-06</v>
      </c>
      <c r="J78" s="5" t="str">
        <f t="shared" si="6"/>
        <v>Luxury</v>
      </c>
      <c r="K78" s="5" t="str">
        <f t="shared" si="7"/>
        <v>High</v>
      </c>
      <c r="L78" s="5" t="str">
        <f t="shared" si="8"/>
        <v>No</v>
      </c>
      <c r="M78" s="5" t="str">
        <f t="shared" si="9"/>
        <v>Attention Needed</v>
      </c>
      <c r="N78" s="3">
        <f>_xlfn.XLOOKUP(B78, Properties!A:A, Properties!D:D, FALSE)</f>
        <v>204053</v>
      </c>
    </row>
    <row r="79" spans="1:14" x14ac:dyDescent="0.3">
      <c r="A79">
        <v>387</v>
      </c>
      <c r="B79">
        <v>82</v>
      </c>
      <c r="C79">
        <v>6</v>
      </c>
      <c r="D79" s="3">
        <v>253540</v>
      </c>
      <c r="E79" t="s">
        <v>257</v>
      </c>
      <c r="F79" s="1" t="s">
        <v>354</v>
      </c>
      <c r="G79" t="str">
        <f>_xlfn.XLOOKUP(B79, Properties!A:A, Properties!B:B, FALSE)</f>
        <v>Nis</v>
      </c>
      <c r="H79" t="str">
        <f>_xlfn.XLOOKUP(C79, Agents!A:A, Agents!B:B, FALSE)</f>
        <v>Marko Jovic</v>
      </c>
      <c r="I79" t="str">
        <f t="shared" si="5"/>
        <v>2025-05</v>
      </c>
      <c r="J79" s="5" t="str">
        <f t="shared" si="6"/>
        <v>Luxury</v>
      </c>
      <c r="K79" s="5" t="str">
        <f t="shared" si="7"/>
        <v>High</v>
      </c>
      <c r="L79" s="5" t="str">
        <f t="shared" si="8"/>
        <v>No</v>
      </c>
      <c r="M79" s="5" t="str">
        <f t="shared" si="9"/>
        <v>Attention Needed</v>
      </c>
      <c r="N79" s="3">
        <f>_xlfn.XLOOKUP(B79, Properties!A:A, Properties!D:D, FALSE)</f>
        <v>78712</v>
      </c>
    </row>
    <row r="80" spans="1:14" x14ac:dyDescent="0.3">
      <c r="A80">
        <v>159</v>
      </c>
      <c r="B80">
        <v>229</v>
      </c>
      <c r="C80">
        <v>10</v>
      </c>
      <c r="D80" s="3">
        <v>253407</v>
      </c>
      <c r="E80" t="s">
        <v>257</v>
      </c>
      <c r="F80" s="1" t="s">
        <v>323</v>
      </c>
      <c r="G80" t="str">
        <f>_xlfn.XLOOKUP(B80, Properties!A:A, Properties!B:B, FALSE)</f>
        <v>Belgrade</v>
      </c>
      <c r="H80" t="str">
        <f>_xlfn.XLOOKUP(C80, Agents!A:A, Agents!B:B, FALSE)</f>
        <v>Marko Jovic</v>
      </c>
      <c r="I80" t="str">
        <f t="shared" si="5"/>
        <v>2024-03</v>
      </c>
      <c r="J80" s="5" t="str">
        <f t="shared" si="6"/>
        <v>Luxury</v>
      </c>
      <c r="K80" s="5" t="str">
        <f t="shared" si="7"/>
        <v>High</v>
      </c>
      <c r="L80" s="5" t="str">
        <f t="shared" si="8"/>
        <v>No</v>
      </c>
      <c r="M80" s="5" t="str">
        <f t="shared" si="9"/>
        <v>Attention Needed</v>
      </c>
      <c r="N80" s="3">
        <f>_xlfn.XLOOKUP(B80, Properties!A:A, Properties!D:D, FALSE)</f>
        <v>155233</v>
      </c>
    </row>
    <row r="81" spans="1:14" x14ac:dyDescent="0.3">
      <c r="A81">
        <v>156</v>
      </c>
      <c r="B81">
        <v>266</v>
      </c>
      <c r="C81">
        <v>5</v>
      </c>
      <c r="D81" s="3">
        <v>252560</v>
      </c>
      <c r="E81" t="s">
        <v>259</v>
      </c>
      <c r="F81" s="1" t="s">
        <v>24</v>
      </c>
      <c r="G81" t="str">
        <f>_xlfn.XLOOKUP(B81, Properties!A:A, Properties!B:B, FALSE)</f>
        <v>Novi Sad</v>
      </c>
      <c r="H81" t="str">
        <f>_xlfn.XLOOKUP(C81, Agents!A:A, Agents!B:B, FALSE)</f>
        <v>Mina Lukic</v>
      </c>
      <c r="I81" t="str">
        <f t="shared" si="5"/>
        <v>2024-02</v>
      </c>
      <c r="J81" s="5" t="str">
        <f t="shared" si="6"/>
        <v>Luxury</v>
      </c>
      <c r="K81" s="5" t="str">
        <f t="shared" si="7"/>
        <v>High</v>
      </c>
      <c r="L81" s="5" t="str">
        <f t="shared" si="8"/>
        <v>Yes</v>
      </c>
      <c r="M81" s="5" t="str">
        <f t="shared" si="9"/>
        <v>Ok</v>
      </c>
      <c r="N81" s="3">
        <f>_xlfn.XLOOKUP(B81, Properties!A:A, Properties!D:D, FALSE)</f>
        <v>193219</v>
      </c>
    </row>
    <row r="82" spans="1:14" x14ac:dyDescent="0.3">
      <c r="A82">
        <v>284</v>
      </c>
      <c r="B82">
        <v>153</v>
      </c>
      <c r="C82">
        <v>8</v>
      </c>
      <c r="D82" s="3">
        <v>252365</v>
      </c>
      <c r="E82" t="s">
        <v>257</v>
      </c>
      <c r="F82" s="1" t="s">
        <v>57</v>
      </c>
      <c r="G82" t="str">
        <f>_xlfn.XLOOKUP(B82, Properties!A:A, Properties!B:B, FALSE)</f>
        <v>Becej</v>
      </c>
      <c r="H82" t="str">
        <f>_xlfn.XLOOKUP(C82, Agents!A:A, Agents!B:B, FALSE)</f>
        <v>Mina Lukic</v>
      </c>
      <c r="I82" t="str">
        <f t="shared" si="5"/>
        <v>2024-09</v>
      </c>
      <c r="J82" s="5" t="str">
        <f t="shared" si="6"/>
        <v>Luxury</v>
      </c>
      <c r="K82" s="5" t="str">
        <f t="shared" si="7"/>
        <v>High</v>
      </c>
      <c r="L82" s="5" t="str">
        <f t="shared" si="8"/>
        <v>No</v>
      </c>
      <c r="M82" s="5" t="str">
        <f t="shared" si="9"/>
        <v>Attention Needed</v>
      </c>
      <c r="N82" s="3">
        <f>_xlfn.XLOOKUP(B82, Properties!A:A, Properties!D:D, FALSE)</f>
        <v>227984</v>
      </c>
    </row>
    <row r="83" spans="1:14" x14ac:dyDescent="0.3">
      <c r="A83">
        <v>71</v>
      </c>
      <c r="B83">
        <v>42</v>
      </c>
      <c r="C83">
        <v>5</v>
      </c>
      <c r="D83" s="3">
        <v>252305</v>
      </c>
      <c r="E83" t="s">
        <v>256</v>
      </c>
      <c r="F83" s="1" t="s">
        <v>66</v>
      </c>
      <c r="G83" t="str">
        <f>_xlfn.XLOOKUP(B83, Properties!A:A, Properties!B:B, FALSE)</f>
        <v>Nis</v>
      </c>
      <c r="H83" t="str">
        <f>_xlfn.XLOOKUP(C83, Agents!A:A, Agents!B:B, FALSE)</f>
        <v>Mina Lukic</v>
      </c>
      <c r="I83" t="str">
        <f t="shared" si="5"/>
        <v>2024-09</v>
      </c>
      <c r="J83" s="5" t="str">
        <f t="shared" si="6"/>
        <v>Luxury</v>
      </c>
      <c r="K83" s="5" t="str">
        <f t="shared" si="7"/>
        <v>High</v>
      </c>
      <c r="L83" s="5" t="str">
        <f t="shared" si="8"/>
        <v>No</v>
      </c>
      <c r="M83" s="5" t="str">
        <f t="shared" si="9"/>
        <v>Attention Needed</v>
      </c>
      <c r="N83" s="3">
        <f>_xlfn.XLOOKUP(B83, Properties!A:A, Properties!D:D, FALSE)</f>
        <v>70065</v>
      </c>
    </row>
    <row r="84" spans="1:14" x14ac:dyDescent="0.3">
      <c r="A84">
        <v>110</v>
      </c>
      <c r="B84">
        <v>66</v>
      </c>
      <c r="C84">
        <v>9</v>
      </c>
      <c r="D84" s="3">
        <v>251986</v>
      </c>
      <c r="E84" t="s">
        <v>259</v>
      </c>
      <c r="F84" s="1" t="s">
        <v>303</v>
      </c>
      <c r="G84" t="str">
        <f>_xlfn.XLOOKUP(B84, Properties!A:A, Properties!B:B, FALSE)</f>
        <v>Subotica</v>
      </c>
      <c r="H84" t="str">
        <f>_xlfn.XLOOKUP(C84, Agents!A:A, Agents!B:B, FALSE)</f>
        <v>Ivan Stankovic</v>
      </c>
      <c r="I84" t="str">
        <f t="shared" si="5"/>
        <v>2024-09</v>
      </c>
      <c r="J84" s="5" t="str">
        <f t="shared" si="6"/>
        <v>Luxury</v>
      </c>
      <c r="K84" s="5" t="str">
        <f t="shared" si="7"/>
        <v>High</v>
      </c>
      <c r="L84" s="5" t="str">
        <f t="shared" si="8"/>
        <v>Yes</v>
      </c>
      <c r="M84" s="5" t="str">
        <f t="shared" si="9"/>
        <v>Ok</v>
      </c>
      <c r="N84" s="3">
        <f>_xlfn.XLOOKUP(B84, Properties!A:A, Properties!D:D, FALSE)</f>
        <v>95183</v>
      </c>
    </row>
    <row r="85" spans="1:14" x14ac:dyDescent="0.3">
      <c r="A85">
        <v>134</v>
      </c>
      <c r="B85">
        <v>77</v>
      </c>
      <c r="C85">
        <v>9</v>
      </c>
      <c r="D85" s="3">
        <v>251907</v>
      </c>
      <c r="E85" t="s">
        <v>257</v>
      </c>
      <c r="F85" s="1" t="s">
        <v>286</v>
      </c>
      <c r="G85" t="str">
        <f>_xlfn.XLOOKUP(B85, Properties!A:A, Properties!B:B, FALSE)</f>
        <v>Nis</v>
      </c>
      <c r="H85" t="str">
        <f>_xlfn.XLOOKUP(C85, Agents!A:A, Agents!B:B, FALSE)</f>
        <v>Ivan Stankovic</v>
      </c>
      <c r="I85" t="str">
        <f t="shared" si="5"/>
        <v>2024-02</v>
      </c>
      <c r="J85" s="5" t="str">
        <f t="shared" si="6"/>
        <v>Luxury</v>
      </c>
      <c r="K85" s="5" t="str">
        <f t="shared" si="7"/>
        <v>High</v>
      </c>
      <c r="L85" s="5" t="str">
        <f t="shared" si="8"/>
        <v>No</v>
      </c>
      <c r="M85" s="5" t="str">
        <f t="shared" si="9"/>
        <v>Attention Needed</v>
      </c>
      <c r="N85" s="3">
        <f>_xlfn.XLOOKUP(B85, Properties!A:A, Properties!D:D, FALSE)</f>
        <v>70579</v>
      </c>
    </row>
    <row r="86" spans="1:14" x14ac:dyDescent="0.3">
      <c r="A86">
        <v>371</v>
      </c>
      <c r="B86">
        <v>130</v>
      </c>
      <c r="C86">
        <v>3</v>
      </c>
      <c r="D86" s="3">
        <v>251840</v>
      </c>
      <c r="E86" t="s">
        <v>257</v>
      </c>
      <c r="F86" s="1" t="s">
        <v>363</v>
      </c>
      <c r="G86" t="str">
        <f>_xlfn.XLOOKUP(B86, Properties!A:A, Properties!B:B, FALSE)</f>
        <v>Subotica</v>
      </c>
      <c r="H86" t="str">
        <f>_xlfn.XLOOKUP(C86, Agents!A:A, Agents!B:B, FALSE)</f>
        <v>Ivan Stankovic</v>
      </c>
      <c r="I86" t="str">
        <f t="shared" si="5"/>
        <v>2025-02</v>
      </c>
      <c r="J86" s="5" t="str">
        <f t="shared" si="6"/>
        <v>Luxury</v>
      </c>
      <c r="K86" s="5" t="str">
        <f t="shared" si="7"/>
        <v>High</v>
      </c>
      <c r="L86" s="5" t="str">
        <f t="shared" si="8"/>
        <v>No</v>
      </c>
      <c r="M86" s="5" t="str">
        <f t="shared" si="9"/>
        <v>Attention Needed</v>
      </c>
      <c r="N86" s="3">
        <f>_xlfn.XLOOKUP(B86, Properties!A:A, Properties!D:D, FALSE)</f>
        <v>215803</v>
      </c>
    </row>
    <row r="87" spans="1:14" x14ac:dyDescent="0.3">
      <c r="A87">
        <v>441</v>
      </c>
      <c r="B87">
        <v>5</v>
      </c>
      <c r="C87">
        <v>6</v>
      </c>
      <c r="D87" s="3">
        <v>251414</v>
      </c>
      <c r="E87" t="s">
        <v>259</v>
      </c>
      <c r="F87" s="1" t="s">
        <v>240</v>
      </c>
      <c r="G87" t="str">
        <f>_xlfn.XLOOKUP(B87, Properties!A:A, Properties!B:B, FALSE)</f>
        <v>Novi Sad</v>
      </c>
      <c r="H87" t="str">
        <f>_xlfn.XLOOKUP(C87, Agents!A:A, Agents!B:B, FALSE)</f>
        <v>Marko Jovic</v>
      </c>
      <c r="I87" t="str">
        <f t="shared" si="5"/>
        <v>2024-12</v>
      </c>
      <c r="J87" s="5" t="str">
        <f t="shared" si="6"/>
        <v>Luxury</v>
      </c>
      <c r="K87" s="5" t="str">
        <f t="shared" si="7"/>
        <v>High</v>
      </c>
      <c r="L87" s="5" t="str">
        <f t="shared" si="8"/>
        <v>Yes</v>
      </c>
      <c r="M87" s="5" t="str">
        <f t="shared" si="9"/>
        <v>Ok</v>
      </c>
      <c r="N87" s="3">
        <f>_xlfn.XLOOKUP(B87, Properties!A:A, Properties!D:D, FALSE)</f>
        <v>177127</v>
      </c>
    </row>
    <row r="88" spans="1:14" x14ac:dyDescent="0.3">
      <c r="A88">
        <v>456</v>
      </c>
      <c r="B88">
        <v>163</v>
      </c>
      <c r="C88">
        <v>3</v>
      </c>
      <c r="D88" s="3">
        <v>250653</v>
      </c>
      <c r="E88" t="s">
        <v>256</v>
      </c>
      <c r="F88" s="1" t="s">
        <v>412</v>
      </c>
      <c r="G88" t="str">
        <f>_xlfn.XLOOKUP(B88, Properties!A:A, Properties!B:B, FALSE)</f>
        <v>Novi Sad</v>
      </c>
      <c r="H88" t="str">
        <f>_xlfn.XLOOKUP(C88, Agents!A:A, Agents!B:B, FALSE)</f>
        <v>Ivan Stankovic</v>
      </c>
      <c r="I88" t="str">
        <f t="shared" si="5"/>
        <v>2024-07</v>
      </c>
      <c r="J88" s="5" t="str">
        <f t="shared" si="6"/>
        <v>Luxury</v>
      </c>
      <c r="K88" s="5" t="str">
        <f t="shared" si="7"/>
        <v>High</v>
      </c>
      <c r="L88" s="5" t="str">
        <f t="shared" si="8"/>
        <v>No</v>
      </c>
      <c r="M88" s="5" t="str">
        <f t="shared" si="9"/>
        <v>Attention Needed</v>
      </c>
      <c r="N88" s="3">
        <f>_xlfn.XLOOKUP(B88, Properties!A:A, Properties!D:D, FALSE)</f>
        <v>138755</v>
      </c>
    </row>
    <row r="89" spans="1:14" x14ac:dyDescent="0.3">
      <c r="A89">
        <v>477</v>
      </c>
      <c r="B89">
        <v>77</v>
      </c>
      <c r="C89">
        <v>3</v>
      </c>
      <c r="D89" s="3">
        <v>249870</v>
      </c>
      <c r="E89" t="s">
        <v>259</v>
      </c>
      <c r="F89" s="1" t="s">
        <v>417</v>
      </c>
      <c r="G89" t="str">
        <f>_xlfn.XLOOKUP(B89, Properties!A:A, Properties!B:B, FALSE)</f>
        <v>Nis</v>
      </c>
      <c r="H89" t="str">
        <f>_xlfn.XLOOKUP(C89, Agents!A:A, Agents!B:B, FALSE)</f>
        <v>Ivan Stankovic</v>
      </c>
      <c r="I89" t="str">
        <f t="shared" si="5"/>
        <v>2024-04</v>
      </c>
      <c r="J89" s="5" t="str">
        <f t="shared" si="6"/>
        <v>Luxury</v>
      </c>
      <c r="K89" s="5" t="str">
        <f t="shared" si="7"/>
        <v>Medium</v>
      </c>
      <c r="L89" s="5" t="str">
        <f t="shared" si="8"/>
        <v>Yes</v>
      </c>
      <c r="M89" s="5" t="str">
        <f t="shared" si="9"/>
        <v>Ok</v>
      </c>
      <c r="N89" s="3">
        <f>_xlfn.XLOOKUP(B89, Properties!A:A, Properties!D:D, FALSE)</f>
        <v>70579</v>
      </c>
    </row>
    <row r="90" spans="1:14" x14ac:dyDescent="0.3">
      <c r="A90">
        <v>227</v>
      </c>
      <c r="B90">
        <v>10</v>
      </c>
      <c r="C90">
        <v>8</v>
      </c>
      <c r="D90" s="3">
        <v>249561</v>
      </c>
      <c r="E90" t="s">
        <v>256</v>
      </c>
      <c r="F90" s="1" t="s">
        <v>149</v>
      </c>
      <c r="G90" t="str">
        <f>_xlfn.XLOOKUP(B90, Properties!A:A, Properties!B:B, FALSE)</f>
        <v>Subotica</v>
      </c>
      <c r="H90" t="str">
        <f>_xlfn.XLOOKUP(C90, Agents!A:A, Agents!B:B, FALSE)</f>
        <v>Mina Lukic</v>
      </c>
      <c r="I90" t="str">
        <f t="shared" si="5"/>
        <v>2024-03</v>
      </c>
      <c r="J90" s="5" t="str">
        <f t="shared" si="6"/>
        <v>Luxury</v>
      </c>
      <c r="K90" s="5" t="str">
        <f t="shared" si="7"/>
        <v>Medium</v>
      </c>
      <c r="L90" s="5" t="str">
        <f t="shared" si="8"/>
        <v>No</v>
      </c>
      <c r="M90" s="5" t="str">
        <f t="shared" si="9"/>
        <v>Attention Needed</v>
      </c>
      <c r="N90" s="3">
        <f>_xlfn.XLOOKUP(B90, Properties!A:A, Properties!D:D, FALSE)</f>
        <v>54312</v>
      </c>
    </row>
    <row r="91" spans="1:14" x14ac:dyDescent="0.3">
      <c r="A91">
        <v>121</v>
      </c>
      <c r="B91">
        <v>145</v>
      </c>
      <c r="C91">
        <v>7</v>
      </c>
      <c r="D91" s="3">
        <v>249498</v>
      </c>
      <c r="E91" t="s">
        <v>257</v>
      </c>
      <c r="F91" s="1" t="s">
        <v>200</v>
      </c>
      <c r="G91" t="str">
        <f>_xlfn.XLOOKUP(B91, Properties!A:A, Properties!B:B, FALSE)</f>
        <v>Novi Sad</v>
      </c>
      <c r="H91" t="str">
        <f>_xlfn.XLOOKUP(C91, Agents!A:A, Agents!B:B, FALSE)</f>
        <v>Ana Markovic</v>
      </c>
      <c r="I91" t="str">
        <f t="shared" si="5"/>
        <v>2025-05</v>
      </c>
      <c r="J91" s="5" t="str">
        <f t="shared" si="6"/>
        <v>Luxury</v>
      </c>
      <c r="K91" s="5" t="str">
        <f t="shared" si="7"/>
        <v>Medium</v>
      </c>
      <c r="L91" s="5" t="str">
        <f t="shared" si="8"/>
        <v>No</v>
      </c>
      <c r="M91" s="5" t="str">
        <f t="shared" si="9"/>
        <v>Attention Needed</v>
      </c>
      <c r="N91" s="3">
        <f>_xlfn.XLOOKUP(B91, Properties!A:A, Properties!D:D, FALSE)</f>
        <v>190241</v>
      </c>
    </row>
    <row r="92" spans="1:14" x14ac:dyDescent="0.3">
      <c r="A92">
        <v>373</v>
      </c>
      <c r="B92">
        <v>206</v>
      </c>
      <c r="C92">
        <v>9</v>
      </c>
      <c r="D92" s="3">
        <v>249310</v>
      </c>
      <c r="E92" t="s">
        <v>257</v>
      </c>
      <c r="F92" s="1" t="s">
        <v>394</v>
      </c>
      <c r="G92" t="str">
        <f>_xlfn.XLOOKUP(B92, Properties!A:A, Properties!B:B, FALSE)</f>
        <v>Subotica</v>
      </c>
      <c r="H92" t="str">
        <f>_xlfn.XLOOKUP(C92, Agents!A:A, Agents!B:B, FALSE)</f>
        <v>Ivan Stankovic</v>
      </c>
      <c r="I92" t="str">
        <f t="shared" si="5"/>
        <v>2024-10</v>
      </c>
      <c r="J92" s="5" t="str">
        <f t="shared" si="6"/>
        <v>Luxury</v>
      </c>
      <c r="K92" s="5" t="str">
        <f t="shared" si="7"/>
        <v>Medium</v>
      </c>
      <c r="L92" s="5" t="str">
        <f t="shared" si="8"/>
        <v>No</v>
      </c>
      <c r="M92" s="5" t="str">
        <f t="shared" si="9"/>
        <v>Attention Needed</v>
      </c>
      <c r="N92" s="3">
        <f>_xlfn.XLOOKUP(B92, Properties!A:A, Properties!D:D, FALSE)</f>
        <v>186278</v>
      </c>
    </row>
    <row r="93" spans="1:14" x14ac:dyDescent="0.3">
      <c r="A93">
        <v>314</v>
      </c>
      <c r="B93">
        <v>75</v>
      </c>
      <c r="C93">
        <v>1</v>
      </c>
      <c r="D93" s="3">
        <v>248931</v>
      </c>
      <c r="E93" t="s">
        <v>256</v>
      </c>
      <c r="F93" s="1" t="s">
        <v>377</v>
      </c>
      <c r="G93" t="str">
        <f>_xlfn.XLOOKUP(B93, Properties!A:A, Properties!B:B, FALSE)</f>
        <v>Becej</v>
      </c>
      <c r="H93" t="str">
        <f>_xlfn.XLOOKUP(C93, Agents!A:A, Agents!B:B, FALSE)</f>
        <v>Ana Markovic</v>
      </c>
      <c r="I93" t="str">
        <f t="shared" si="5"/>
        <v>2024-05</v>
      </c>
      <c r="J93" s="5" t="str">
        <f t="shared" si="6"/>
        <v>Luxury</v>
      </c>
      <c r="K93" s="5" t="str">
        <f t="shared" si="7"/>
        <v>Medium</v>
      </c>
      <c r="L93" s="5" t="str">
        <f t="shared" si="8"/>
        <v>No</v>
      </c>
      <c r="M93" s="5" t="str">
        <f t="shared" si="9"/>
        <v>Attention Needed</v>
      </c>
      <c r="N93" s="3">
        <f>_xlfn.XLOOKUP(B93, Properties!A:A, Properties!D:D, FALSE)</f>
        <v>235539</v>
      </c>
    </row>
    <row r="94" spans="1:14" x14ac:dyDescent="0.3">
      <c r="A94">
        <v>266</v>
      </c>
      <c r="B94">
        <v>233</v>
      </c>
      <c r="C94">
        <v>10</v>
      </c>
      <c r="D94" s="3">
        <v>248022</v>
      </c>
      <c r="E94" t="s">
        <v>256</v>
      </c>
      <c r="F94" s="1" t="s">
        <v>183</v>
      </c>
      <c r="G94" t="str">
        <f>_xlfn.XLOOKUP(B94, Properties!A:A, Properties!B:B, FALSE)</f>
        <v>Belgrade</v>
      </c>
      <c r="H94" t="str">
        <f>_xlfn.XLOOKUP(C94, Agents!A:A, Agents!B:B, FALSE)</f>
        <v>Marko Jovic</v>
      </c>
      <c r="I94" t="str">
        <f t="shared" si="5"/>
        <v>2024-12</v>
      </c>
      <c r="J94" s="5" t="str">
        <f t="shared" si="6"/>
        <v>Luxury</v>
      </c>
      <c r="K94" s="5" t="str">
        <f t="shared" si="7"/>
        <v>Medium</v>
      </c>
      <c r="L94" s="5" t="str">
        <f t="shared" si="8"/>
        <v>No</v>
      </c>
      <c r="M94" s="5" t="str">
        <f t="shared" si="9"/>
        <v>Attention Needed</v>
      </c>
      <c r="N94" s="3">
        <f>_xlfn.XLOOKUP(B94, Properties!A:A, Properties!D:D, FALSE)</f>
        <v>188942</v>
      </c>
    </row>
    <row r="95" spans="1:14" x14ac:dyDescent="0.3">
      <c r="A95">
        <v>196</v>
      </c>
      <c r="B95">
        <v>31</v>
      </c>
      <c r="C95">
        <v>3</v>
      </c>
      <c r="D95" s="3">
        <v>247905</v>
      </c>
      <c r="E95" t="s">
        <v>256</v>
      </c>
      <c r="F95" s="1" t="s">
        <v>340</v>
      </c>
      <c r="G95" t="str">
        <f>_xlfn.XLOOKUP(B95, Properties!A:A, Properties!B:B, FALSE)</f>
        <v>Novi Sad</v>
      </c>
      <c r="H95" t="str">
        <f>_xlfn.XLOOKUP(C95, Agents!A:A, Agents!B:B, FALSE)</f>
        <v>Ivan Stankovic</v>
      </c>
      <c r="I95" t="str">
        <f t="shared" si="5"/>
        <v>2024-09</v>
      </c>
      <c r="J95" s="5" t="str">
        <f t="shared" si="6"/>
        <v>Luxury</v>
      </c>
      <c r="K95" s="5" t="str">
        <f t="shared" si="7"/>
        <v>Medium</v>
      </c>
      <c r="L95" s="5" t="str">
        <f t="shared" si="8"/>
        <v>No</v>
      </c>
      <c r="M95" s="5" t="str">
        <f t="shared" si="9"/>
        <v>Attention Needed</v>
      </c>
      <c r="N95" s="3">
        <f>_xlfn.XLOOKUP(B95, Properties!A:A, Properties!D:D, FALSE)</f>
        <v>53831</v>
      </c>
    </row>
    <row r="96" spans="1:14" x14ac:dyDescent="0.3">
      <c r="A96">
        <v>13</v>
      </c>
      <c r="B96">
        <v>152</v>
      </c>
      <c r="C96">
        <v>6</v>
      </c>
      <c r="D96" s="3">
        <v>247843</v>
      </c>
      <c r="E96" t="s">
        <v>257</v>
      </c>
      <c r="F96" s="1" t="s">
        <v>263</v>
      </c>
      <c r="G96" t="str">
        <f>_xlfn.XLOOKUP(B96, Properties!A:A, Properties!B:B, FALSE)</f>
        <v>Novi Sad</v>
      </c>
      <c r="H96" t="str">
        <f>_xlfn.XLOOKUP(C96, Agents!A:A, Agents!B:B, FALSE)</f>
        <v>Marko Jovic</v>
      </c>
      <c r="I96" t="str">
        <f t="shared" si="5"/>
        <v>2024-03</v>
      </c>
      <c r="J96" s="5" t="str">
        <f t="shared" si="6"/>
        <v>Luxury</v>
      </c>
      <c r="K96" s="5" t="str">
        <f t="shared" si="7"/>
        <v>Medium</v>
      </c>
      <c r="L96" s="5" t="str">
        <f t="shared" si="8"/>
        <v>No</v>
      </c>
      <c r="M96" s="5" t="str">
        <f t="shared" si="9"/>
        <v>Attention Needed</v>
      </c>
      <c r="N96" s="3">
        <f>_xlfn.XLOOKUP(B96, Properties!A:A, Properties!D:D, FALSE)</f>
        <v>149658</v>
      </c>
    </row>
    <row r="97" spans="1:14" x14ac:dyDescent="0.3">
      <c r="A97">
        <v>353</v>
      </c>
      <c r="B97">
        <v>198</v>
      </c>
      <c r="C97">
        <v>1</v>
      </c>
      <c r="D97" s="3">
        <v>246955</v>
      </c>
      <c r="E97" t="s">
        <v>256</v>
      </c>
      <c r="F97" s="1" t="s">
        <v>374</v>
      </c>
      <c r="G97" t="str">
        <f>_xlfn.XLOOKUP(B97, Properties!A:A, Properties!B:B, FALSE)</f>
        <v>Becej</v>
      </c>
      <c r="H97" t="str">
        <f>_xlfn.XLOOKUP(C97, Agents!A:A, Agents!B:B, FALSE)</f>
        <v>Ana Markovic</v>
      </c>
      <c r="I97" t="str">
        <f t="shared" si="5"/>
        <v>2024-07</v>
      </c>
      <c r="J97" s="5" t="str">
        <f t="shared" si="6"/>
        <v>Luxury</v>
      </c>
      <c r="K97" s="5" t="str">
        <f t="shared" si="7"/>
        <v>Medium</v>
      </c>
      <c r="L97" s="5" t="str">
        <f t="shared" si="8"/>
        <v>No</v>
      </c>
      <c r="M97" s="5" t="str">
        <f t="shared" si="9"/>
        <v>Attention Needed</v>
      </c>
      <c r="N97" s="3">
        <f>_xlfn.XLOOKUP(B97, Properties!A:A, Properties!D:D, FALSE)</f>
        <v>222360</v>
      </c>
    </row>
    <row r="98" spans="1:14" x14ac:dyDescent="0.3">
      <c r="A98">
        <v>490</v>
      </c>
      <c r="B98">
        <v>23</v>
      </c>
      <c r="C98">
        <v>4</v>
      </c>
      <c r="D98" s="3">
        <v>246560</v>
      </c>
      <c r="E98" t="s">
        <v>257</v>
      </c>
      <c r="F98" s="1" t="s">
        <v>261</v>
      </c>
      <c r="G98" t="str">
        <f>_xlfn.XLOOKUP(B98, Properties!A:A, Properties!B:B, FALSE)</f>
        <v>Subotica</v>
      </c>
      <c r="H98" t="str">
        <f>_xlfn.XLOOKUP(C98, Agents!A:A, Agents!B:B, FALSE)</f>
        <v>Marko Jovic</v>
      </c>
      <c r="I98" t="str">
        <f t="shared" si="5"/>
        <v>2024-12</v>
      </c>
      <c r="J98" s="5" t="str">
        <f t="shared" si="6"/>
        <v>Luxury</v>
      </c>
      <c r="K98" s="5" t="str">
        <f t="shared" si="7"/>
        <v>Medium</v>
      </c>
      <c r="L98" s="5" t="str">
        <f t="shared" si="8"/>
        <v>No</v>
      </c>
      <c r="M98" s="5" t="str">
        <f t="shared" si="9"/>
        <v>Attention Needed</v>
      </c>
      <c r="N98" s="3">
        <f>_xlfn.XLOOKUP(B98, Properties!A:A, Properties!D:D, FALSE)</f>
        <v>209467</v>
      </c>
    </row>
    <row r="99" spans="1:14" x14ac:dyDescent="0.3">
      <c r="A99">
        <v>300</v>
      </c>
      <c r="B99">
        <v>238</v>
      </c>
      <c r="C99">
        <v>1</v>
      </c>
      <c r="D99" s="3">
        <v>246361</v>
      </c>
      <c r="E99" t="s">
        <v>257</v>
      </c>
      <c r="F99" s="1" t="s">
        <v>279</v>
      </c>
      <c r="G99" t="str">
        <f>_xlfn.XLOOKUP(B99, Properties!A:A, Properties!B:B, FALSE)</f>
        <v>Belgrade</v>
      </c>
      <c r="H99" t="str">
        <f>_xlfn.XLOOKUP(C99, Agents!A:A, Agents!B:B, FALSE)</f>
        <v>Ana Markovic</v>
      </c>
      <c r="I99" t="str">
        <f t="shared" si="5"/>
        <v>2025-05</v>
      </c>
      <c r="J99" s="5" t="str">
        <f t="shared" si="6"/>
        <v>Luxury</v>
      </c>
      <c r="K99" s="5" t="str">
        <f t="shared" si="7"/>
        <v>Medium</v>
      </c>
      <c r="L99" s="5" t="str">
        <f t="shared" si="8"/>
        <v>No</v>
      </c>
      <c r="M99" s="5" t="str">
        <f t="shared" si="9"/>
        <v>Attention Needed</v>
      </c>
      <c r="N99" s="3">
        <f>_xlfn.XLOOKUP(B99, Properties!A:A, Properties!D:D, FALSE)</f>
        <v>193975</v>
      </c>
    </row>
    <row r="100" spans="1:14" x14ac:dyDescent="0.3">
      <c r="A100">
        <v>320</v>
      </c>
      <c r="B100">
        <v>39</v>
      </c>
      <c r="C100">
        <v>1</v>
      </c>
      <c r="D100" s="3">
        <v>246212</v>
      </c>
      <c r="E100" t="s">
        <v>259</v>
      </c>
      <c r="F100" s="1" t="s">
        <v>348</v>
      </c>
      <c r="G100" t="str">
        <f>_xlfn.XLOOKUP(B100, Properties!A:A, Properties!B:B, FALSE)</f>
        <v>Novi Sad</v>
      </c>
      <c r="H100" t="str">
        <f>_xlfn.XLOOKUP(C100, Agents!A:A, Agents!B:B, FALSE)</f>
        <v>Ana Markovic</v>
      </c>
      <c r="I100" t="str">
        <f t="shared" si="5"/>
        <v>2024-03</v>
      </c>
      <c r="J100" s="5" t="str">
        <f t="shared" si="6"/>
        <v>Luxury</v>
      </c>
      <c r="K100" s="5" t="str">
        <f t="shared" si="7"/>
        <v>Medium</v>
      </c>
      <c r="L100" s="5" t="str">
        <f t="shared" si="8"/>
        <v>Yes</v>
      </c>
      <c r="M100" s="5" t="str">
        <f t="shared" si="9"/>
        <v>Ok</v>
      </c>
      <c r="N100" s="3">
        <f>_xlfn.XLOOKUP(B100, Properties!A:A, Properties!D:D, FALSE)</f>
        <v>30850</v>
      </c>
    </row>
    <row r="101" spans="1:14" x14ac:dyDescent="0.3">
      <c r="A101">
        <v>420</v>
      </c>
      <c r="B101">
        <v>264</v>
      </c>
      <c r="C101">
        <v>2</v>
      </c>
      <c r="D101" s="3">
        <v>245794</v>
      </c>
      <c r="E101" t="s">
        <v>259</v>
      </c>
      <c r="F101" s="1" t="s">
        <v>157</v>
      </c>
      <c r="G101" t="str">
        <f>_xlfn.XLOOKUP(B101, Properties!A:A, Properties!B:B, FALSE)</f>
        <v>Becej</v>
      </c>
      <c r="H101" t="str">
        <f>_xlfn.XLOOKUP(C101, Agents!A:A, Agents!B:B, FALSE)</f>
        <v>Jelena Petrovic</v>
      </c>
      <c r="I101" t="str">
        <f t="shared" si="5"/>
        <v>2025-04</v>
      </c>
      <c r="J101" s="5" t="str">
        <f t="shared" si="6"/>
        <v>Luxury</v>
      </c>
      <c r="K101" s="5" t="str">
        <f t="shared" si="7"/>
        <v>Medium</v>
      </c>
      <c r="L101" s="5" t="str">
        <f t="shared" si="8"/>
        <v>Yes</v>
      </c>
      <c r="M101" s="5" t="str">
        <f t="shared" si="9"/>
        <v>Ok</v>
      </c>
      <c r="N101" s="3">
        <f>_xlfn.XLOOKUP(B101, Properties!A:A, Properties!D:D, FALSE)</f>
        <v>202401</v>
      </c>
    </row>
    <row r="102" spans="1:14" x14ac:dyDescent="0.3">
      <c r="A102">
        <v>279</v>
      </c>
      <c r="B102">
        <v>242</v>
      </c>
      <c r="C102">
        <v>1</v>
      </c>
      <c r="D102" s="3">
        <v>244364</v>
      </c>
      <c r="E102" t="s">
        <v>256</v>
      </c>
      <c r="F102" s="1" t="s">
        <v>282</v>
      </c>
      <c r="G102" t="str">
        <f>_xlfn.XLOOKUP(B102, Properties!A:A, Properties!B:B, FALSE)</f>
        <v>Becej</v>
      </c>
      <c r="H102" t="str">
        <f>_xlfn.XLOOKUP(C102, Agents!A:A, Agents!B:B, FALSE)</f>
        <v>Ana Markovic</v>
      </c>
      <c r="I102" t="str">
        <f t="shared" si="5"/>
        <v>2024-04</v>
      </c>
      <c r="J102" s="5" t="str">
        <f t="shared" si="6"/>
        <v>Luxury</v>
      </c>
      <c r="K102" s="5" t="str">
        <f t="shared" si="7"/>
        <v>Medium</v>
      </c>
      <c r="L102" s="5" t="str">
        <f t="shared" si="8"/>
        <v>No</v>
      </c>
      <c r="M102" s="5" t="str">
        <f t="shared" si="9"/>
        <v>Attention Needed</v>
      </c>
      <c r="N102" s="3">
        <f>_xlfn.XLOOKUP(B102, Properties!A:A, Properties!D:D, FALSE)</f>
        <v>38556</v>
      </c>
    </row>
    <row r="103" spans="1:14" x14ac:dyDescent="0.3">
      <c r="A103">
        <v>103</v>
      </c>
      <c r="B103">
        <v>191</v>
      </c>
      <c r="C103">
        <v>5</v>
      </c>
      <c r="D103" s="3">
        <v>244312</v>
      </c>
      <c r="E103" t="s">
        <v>256</v>
      </c>
      <c r="F103" s="1" t="s">
        <v>300</v>
      </c>
      <c r="G103" t="str">
        <f>_xlfn.XLOOKUP(B103, Properties!A:A, Properties!B:B, FALSE)</f>
        <v>Belgrade</v>
      </c>
      <c r="H103" t="str">
        <f>_xlfn.XLOOKUP(C103, Agents!A:A, Agents!B:B, FALSE)</f>
        <v>Mina Lukic</v>
      </c>
      <c r="I103" t="str">
        <f t="shared" si="5"/>
        <v>2025-01</v>
      </c>
      <c r="J103" s="5" t="str">
        <f t="shared" si="6"/>
        <v>Luxury</v>
      </c>
      <c r="K103" s="5" t="str">
        <f t="shared" si="7"/>
        <v>Medium</v>
      </c>
      <c r="L103" s="5" t="str">
        <f t="shared" si="8"/>
        <v>No</v>
      </c>
      <c r="M103" s="5" t="str">
        <f t="shared" si="9"/>
        <v>Attention Needed</v>
      </c>
      <c r="N103" s="3">
        <f>_xlfn.XLOOKUP(B103, Properties!A:A, Properties!D:D, FALSE)</f>
        <v>56712</v>
      </c>
    </row>
    <row r="104" spans="1:14" x14ac:dyDescent="0.3">
      <c r="A104">
        <v>28</v>
      </c>
      <c r="B104">
        <v>213</v>
      </c>
      <c r="C104">
        <v>2</v>
      </c>
      <c r="D104" s="3">
        <v>243970</v>
      </c>
      <c r="E104" t="s">
        <v>256</v>
      </c>
      <c r="F104" s="1" t="s">
        <v>269</v>
      </c>
      <c r="G104" t="str">
        <f>_xlfn.XLOOKUP(B104, Properties!A:A, Properties!B:B, FALSE)</f>
        <v>Novi Sad</v>
      </c>
      <c r="H104" t="str">
        <f>_xlfn.XLOOKUP(C104, Agents!A:A, Agents!B:B, FALSE)</f>
        <v>Jelena Petrovic</v>
      </c>
      <c r="I104" t="str">
        <f t="shared" si="5"/>
        <v>2025-04</v>
      </c>
      <c r="J104" s="5" t="str">
        <f t="shared" si="6"/>
        <v>Luxury</v>
      </c>
      <c r="K104" s="5" t="str">
        <f t="shared" si="7"/>
        <v>Medium</v>
      </c>
      <c r="L104" s="5" t="str">
        <f t="shared" si="8"/>
        <v>No</v>
      </c>
      <c r="M104" s="5" t="str">
        <f t="shared" si="9"/>
        <v>Attention Needed</v>
      </c>
      <c r="N104" s="3">
        <f>_xlfn.XLOOKUP(B104, Properties!A:A, Properties!D:D, FALSE)</f>
        <v>204053</v>
      </c>
    </row>
    <row r="105" spans="1:14" x14ac:dyDescent="0.3">
      <c r="A105">
        <v>162</v>
      </c>
      <c r="B105">
        <v>30</v>
      </c>
      <c r="C105">
        <v>2</v>
      </c>
      <c r="D105" s="3">
        <v>242971</v>
      </c>
      <c r="E105" t="s">
        <v>257</v>
      </c>
      <c r="F105" s="1" t="s">
        <v>299</v>
      </c>
      <c r="G105" t="str">
        <f>_xlfn.XLOOKUP(B105, Properties!A:A, Properties!B:B, FALSE)</f>
        <v>Becej</v>
      </c>
      <c r="H105" t="str">
        <f>_xlfn.XLOOKUP(C105, Agents!A:A, Agents!B:B, FALSE)</f>
        <v>Jelena Petrovic</v>
      </c>
      <c r="I105" t="str">
        <f t="shared" si="5"/>
        <v>2024-07</v>
      </c>
      <c r="J105" s="5" t="str">
        <f t="shared" si="6"/>
        <v>Luxury</v>
      </c>
      <c r="K105" s="5" t="str">
        <f t="shared" si="7"/>
        <v>Medium</v>
      </c>
      <c r="L105" s="5" t="str">
        <f t="shared" si="8"/>
        <v>No</v>
      </c>
      <c r="M105" s="5" t="str">
        <f t="shared" si="9"/>
        <v>Attention Needed</v>
      </c>
      <c r="N105" s="3">
        <f>_xlfn.XLOOKUP(B105, Properties!A:A, Properties!D:D, FALSE)</f>
        <v>124895</v>
      </c>
    </row>
    <row r="106" spans="1:14" x14ac:dyDescent="0.3">
      <c r="A106">
        <v>460</v>
      </c>
      <c r="B106">
        <v>257</v>
      </c>
      <c r="C106">
        <v>7</v>
      </c>
      <c r="D106" s="3">
        <v>240909</v>
      </c>
      <c r="E106" t="s">
        <v>256</v>
      </c>
      <c r="F106" s="1" t="s">
        <v>390</v>
      </c>
      <c r="G106" t="str">
        <f>_xlfn.XLOOKUP(B106, Properties!A:A, Properties!B:B, FALSE)</f>
        <v>Becej</v>
      </c>
      <c r="H106" t="str">
        <f>_xlfn.XLOOKUP(C106, Agents!A:A, Agents!B:B, FALSE)</f>
        <v>Ana Markovic</v>
      </c>
      <c r="I106" t="str">
        <f t="shared" si="5"/>
        <v>2024-02</v>
      </c>
      <c r="J106" s="5" t="str">
        <f t="shared" si="6"/>
        <v>Luxury</v>
      </c>
      <c r="K106" s="5" t="str">
        <f t="shared" si="7"/>
        <v>Medium</v>
      </c>
      <c r="L106" s="5" t="str">
        <f t="shared" si="8"/>
        <v>No</v>
      </c>
      <c r="M106" s="5" t="str">
        <f t="shared" si="9"/>
        <v>Attention Needed</v>
      </c>
      <c r="N106" s="3">
        <f>_xlfn.XLOOKUP(B106, Properties!A:A, Properties!D:D, FALSE)</f>
        <v>77576</v>
      </c>
    </row>
    <row r="107" spans="1:14" x14ac:dyDescent="0.3">
      <c r="A107">
        <v>66</v>
      </c>
      <c r="B107">
        <v>74</v>
      </c>
      <c r="C107">
        <v>10</v>
      </c>
      <c r="D107" s="3">
        <v>240126</v>
      </c>
      <c r="E107" t="s">
        <v>257</v>
      </c>
      <c r="F107" s="1" t="s">
        <v>84</v>
      </c>
      <c r="G107" t="str">
        <f>_xlfn.XLOOKUP(B107, Properties!A:A, Properties!B:B, FALSE)</f>
        <v>Belgrade</v>
      </c>
      <c r="H107" t="str">
        <f>_xlfn.XLOOKUP(C107, Agents!A:A, Agents!B:B, FALSE)</f>
        <v>Marko Jovic</v>
      </c>
      <c r="I107" t="str">
        <f t="shared" si="5"/>
        <v>2024-02</v>
      </c>
      <c r="J107" s="5" t="str">
        <f t="shared" si="6"/>
        <v>Luxury</v>
      </c>
      <c r="K107" s="5" t="str">
        <f t="shared" si="7"/>
        <v>Medium</v>
      </c>
      <c r="L107" s="5" t="str">
        <f t="shared" si="8"/>
        <v>No</v>
      </c>
      <c r="M107" s="5" t="str">
        <f t="shared" si="9"/>
        <v>Attention Needed</v>
      </c>
      <c r="N107" s="3">
        <f>_xlfn.XLOOKUP(B107, Properties!A:A, Properties!D:D, FALSE)</f>
        <v>129345</v>
      </c>
    </row>
    <row r="108" spans="1:14" x14ac:dyDescent="0.3">
      <c r="A108">
        <v>150</v>
      </c>
      <c r="B108">
        <v>22</v>
      </c>
      <c r="C108">
        <v>6</v>
      </c>
      <c r="D108" s="3">
        <v>238784</v>
      </c>
      <c r="E108" t="s">
        <v>256</v>
      </c>
      <c r="F108" s="1" t="s">
        <v>319</v>
      </c>
      <c r="G108" t="str">
        <f>_xlfn.XLOOKUP(B108, Properties!A:A, Properties!B:B, FALSE)</f>
        <v>Novi Sad</v>
      </c>
      <c r="H108" t="str">
        <f>_xlfn.XLOOKUP(C108, Agents!A:A, Agents!B:B, FALSE)</f>
        <v>Marko Jovic</v>
      </c>
      <c r="I108" t="str">
        <f t="shared" si="5"/>
        <v>2025-02</v>
      </c>
      <c r="J108" s="5" t="str">
        <f t="shared" si="6"/>
        <v>Luxury</v>
      </c>
      <c r="K108" s="5" t="str">
        <f t="shared" si="7"/>
        <v>Medium</v>
      </c>
      <c r="L108" s="5" t="str">
        <f t="shared" si="8"/>
        <v>No</v>
      </c>
      <c r="M108" s="5" t="str">
        <f t="shared" si="9"/>
        <v>Attention Needed</v>
      </c>
      <c r="N108" s="3">
        <f>_xlfn.XLOOKUP(B108, Properties!A:A, Properties!D:D, FALSE)</f>
        <v>151178</v>
      </c>
    </row>
    <row r="109" spans="1:14" x14ac:dyDescent="0.3">
      <c r="A109">
        <v>428</v>
      </c>
      <c r="B109">
        <v>184</v>
      </c>
      <c r="C109">
        <v>2</v>
      </c>
      <c r="D109" s="3">
        <v>238517</v>
      </c>
      <c r="E109" t="s">
        <v>257</v>
      </c>
      <c r="F109" s="1" t="s">
        <v>12</v>
      </c>
      <c r="G109" t="str">
        <f>_xlfn.XLOOKUP(B109, Properties!A:A, Properties!B:B, FALSE)</f>
        <v>Nis</v>
      </c>
      <c r="H109" t="str">
        <f>_xlfn.XLOOKUP(C109, Agents!A:A, Agents!B:B, FALSE)</f>
        <v>Jelena Petrovic</v>
      </c>
      <c r="I109" t="str">
        <f t="shared" si="5"/>
        <v>2024-04</v>
      </c>
      <c r="J109" s="5" t="str">
        <f t="shared" si="6"/>
        <v>Luxury</v>
      </c>
      <c r="K109" s="5" t="str">
        <f t="shared" si="7"/>
        <v>Medium</v>
      </c>
      <c r="L109" s="5" t="str">
        <f t="shared" si="8"/>
        <v>No</v>
      </c>
      <c r="M109" s="5" t="str">
        <f t="shared" si="9"/>
        <v>Attention Needed</v>
      </c>
      <c r="N109" s="3">
        <f>_xlfn.XLOOKUP(B109, Properties!A:A, Properties!D:D, FALSE)</f>
        <v>92533</v>
      </c>
    </row>
    <row r="110" spans="1:14" x14ac:dyDescent="0.3">
      <c r="A110">
        <v>7</v>
      </c>
      <c r="B110">
        <v>152</v>
      </c>
      <c r="C110">
        <v>1</v>
      </c>
      <c r="D110" s="3">
        <v>237516</v>
      </c>
      <c r="E110" t="s">
        <v>257</v>
      </c>
      <c r="F110" s="1" t="s">
        <v>7</v>
      </c>
      <c r="G110" t="str">
        <f>_xlfn.XLOOKUP(B110, Properties!A:A, Properties!B:B, FALSE)</f>
        <v>Novi Sad</v>
      </c>
      <c r="H110" t="str">
        <f>_xlfn.XLOOKUP(C110, Agents!A:A, Agents!B:B, FALSE)</f>
        <v>Ana Markovic</v>
      </c>
      <c r="I110" t="str">
        <f t="shared" si="5"/>
        <v>2024-05</v>
      </c>
      <c r="J110" s="5" t="str">
        <f t="shared" si="6"/>
        <v>Luxury</v>
      </c>
      <c r="K110" s="5" t="str">
        <f t="shared" si="7"/>
        <v>Medium</v>
      </c>
      <c r="L110" s="5" t="str">
        <f t="shared" si="8"/>
        <v>No</v>
      </c>
      <c r="M110" s="5" t="str">
        <f t="shared" si="9"/>
        <v>Attention Needed</v>
      </c>
      <c r="N110" s="3">
        <f>_xlfn.XLOOKUP(B110, Properties!A:A, Properties!D:D, FALSE)</f>
        <v>149658</v>
      </c>
    </row>
    <row r="111" spans="1:14" x14ac:dyDescent="0.3">
      <c r="A111">
        <v>492</v>
      </c>
      <c r="B111">
        <v>49</v>
      </c>
      <c r="C111">
        <v>9</v>
      </c>
      <c r="D111" s="3">
        <v>236753</v>
      </c>
      <c r="E111" t="s">
        <v>259</v>
      </c>
      <c r="F111" s="1" t="s">
        <v>106</v>
      </c>
      <c r="G111" t="str">
        <f>_xlfn.XLOOKUP(B111, Properties!A:A, Properties!B:B, FALSE)</f>
        <v>Nis</v>
      </c>
      <c r="H111" t="str">
        <f>_xlfn.XLOOKUP(C111, Agents!A:A, Agents!B:B, FALSE)</f>
        <v>Ivan Stankovic</v>
      </c>
      <c r="I111" t="str">
        <f t="shared" si="5"/>
        <v>2024-02</v>
      </c>
      <c r="J111" s="5" t="str">
        <f t="shared" si="6"/>
        <v>Luxury</v>
      </c>
      <c r="K111" s="5" t="str">
        <f t="shared" si="7"/>
        <v>Medium</v>
      </c>
      <c r="L111" s="5" t="str">
        <f t="shared" si="8"/>
        <v>Yes</v>
      </c>
      <c r="M111" s="5" t="str">
        <f t="shared" si="9"/>
        <v>Ok</v>
      </c>
      <c r="N111" s="3">
        <f>_xlfn.XLOOKUP(B111, Properties!A:A, Properties!D:D, FALSE)</f>
        <v>99483</v>
      </c>
    </row>
    <row r="112" spans="1:14" x14ac:dyDescent="0.3">
      <c r="A112">
        <v>282</v>
      </c>
      <c r="B112">
        <v>179</v>
      </c>
      <c r="C112">
        <v>2</v>
      </c>
      <c r="D112" s="3">
        <v>236075</v>
      </c>
      <c r="E112" t="s">
        <v>259</v>
      </c>
      <c r="F112" s="1" t="s">
        <v>59</v>
      </c>
      <c r="G112" t="str">
        <f>_xlfn.XLOOKUP(B112, Properties!A:A, Properties!B:B, FALSE)</f>
        <v>Becej</v>
      </c>
      <c r="H112" t="str">
        <f>_xlfn.XLOOKUP(C112, Agents!A:A, Agents!B:B, FALSE)</f>
        <v>Jelena Petrovic</v>
      </c>
      <c r="I112" t="str">
        <f t="shared" si="5"/>
        <v>2024-09</v>
      </c>
      <c r="J112" s="5" t="str">
        <f t="shared" si="6"/>
        <v>Luxury</v>
      </c>
      <c r="K112" s="5" t="str">
        <f t="shared" si="7"/>
        <v>Medium</v>
      </c>
      <c r="L112" s="5" t="str">
        <f t="shared" si="8"/>
        <v>Yes</v>
      </c>
      <c r="M112" s="5" t="str">
        <f t="shared" si="9"/>
        <v>Ok</v>
      </c>
      <c r="N112" s="3">
        <f>_xlfn.XLOOKUP(B112, Properties!A:A, Properties!D:D, FALSE)</f>
        <v>248866</v>
      </c>
    </row>
    <row r="113" spans="1:14" x14ac:dyDescent="0.3">
      <c r="A113">
        <v>494</v>
      </c>
      <c r="B113">
        <v>150</v>
      </c>
      <c r="C113">
        <v>5</v>
      </c>
      <c r="D113" s="3">
        <v>236020</v>
      </c>
      <c r="E113" t="s">
        <v>256</v>
      </c>
      <c r="F113" s="1" t="s">
        <v>261</v>
      </c>
      <c r="G113" t="str">
        <f>_xlfn.XLOOKUP(B113, Properties!A:A, Properties!B:B, FALSE)</f>
        <v>Belgrade</v>
      </c>
      <c r="H113" t="str">
        <f>_xlfn.XLOOKUP(C113, Agents!A:A, Agents!B:B, FALSE)</f>
        <v>Mina Lukic</v>
      </c>
      <c r="I113" t="str">
        <f t="shared" si="5"/>
        <v>2024-12</v>
      </c>
      <c r="J113" s="5" t="str">
        <f t="shared" si="6"/>
        <v>Luxury</v>
      </c>
      <c r="K113" s="5" t="str">
        <f t="shared" si="7"/>
        <v>Medium</v>
      </c>
      <c r="L113" s="5" t="str">
        <f t="shared" si="8"/>
        <v>No</v>
      </c>
      <c r="M113" s="5" t="str">
        <f t="shared" si="9"/>
        <v>Attention Needed</v>
      </c>
      <c r="N113" s="3">
        <f>_xlfn.XLOOKUP(B113, Properties!A:A, Properties!D:D, FALSE)</f>
        <v>87367</v>
      </c>
    </row>
    <row r="114" spans="1:14" x14ac:dyDescent="0.3">
      <c r="A114">
        <v>394</v>
      </c>
      <c r="B114">
        <v>161</v>
      </c>
      <c r="C114">
        <v>10</v>
      </c>
      <c r="D114" s="3">
        <v>235806</v>
      </c>
      <c r="E114" t="s">
        <v>256</v>
      </c>
      <c r="F114" s="1" t="s">
        <v>271</v>
      </c>
      <c r="G114" t="str">
        <f>_xlfn.XLOOKUP(B114, Properties!A:A, Properties!B:B, FALSE)</f>
        <v>Subotica</v>
      </c>
      <c r="H114" t="str">
        <f>_xlfn.XLOOKUP(C114, Agents!A:A, Agents!B:B, FALSE)</f>
        <v>Marko Jovic</v>
      </c>
      <c r="I114" t="str">
        <f t="shared" si="5"/>
        <v>2024-10</v>
      </c>
      <c r="J114" s="5" t="str">
        <f t="shared" si="6"/>
        <v>Luxury</v>
      </c>
      <c r="K114" s="5" t="str">
        <f t="shared" si="7"/>
        <v>Medium</v>
      </c>
      <c r="L114" s="5" t="str">
        <f t="shared" si="8"/>
        <v>No</v>
      </c>
      <c r="M114" s="5" t="str">
        <f t="shared" si="9"/>
        <v>Attention Needed</v>
      </c>
      <c r="N114" s="3">
        <f>_xlfn.XLOOKUP(B114, Properties!A:A, Properties!D:D, FALSE)</f>
        <v>66273</v>
      </c>
    </row>
    <row r="115" spans="1:14" x14ac:dyDescent="0.3">
      <c r="A115">
        <v>142</v>
      </c>
      <c r="B115">
        <v>260</v>
      </c>
      <c r="C115">
        <v>9</v>
      </c>
      <c r="D115" s="3">
        <v>234710</v>
      </c>
      <c r="E115" t="s">
        <v>259</v>
      </c>
      <c r="F115" s="1" t="s">
        <v>233</v>
      </c>
      <c r="G115" t="str">
        <f>_xlfn.XLOOKUP(B115, Properties!A:A, Properties!B:B, FALSE)</f>
        <v>Belgrade</v>
      </c>
      <c r="H115" t="str">
        <f>_xlfn.XLOOKUP(C115, Agents!A:A, Agents!B:B, FALSE)</f>
        <v>Ivan Stankovic</v>
      </c>
      <c r="I115" t="str">
        <f t="shared" si="5"/>
        <v>2025-03</v>
      </c>
      <c r="J115" s="5" t="str">
        <f t="shared" si="6"/>
        <v>Luxury</v>
      </c>
      <c r="K115" s="5" t="str">
        <f t="shared" si="7"/>
        <v>Medium</v>
      </c>
      <c r="L115" s="5" t="str">
        <f t="shared" si="8"/>
        <v>Yes</v>
      </c>
      <c r="M115" s="5" t="str">
        <f t="shared" si="9"/>
        <v>Ok</v>
      </c>
      <c r="N115" s="3">
        <f>_xlfn.XLOOKUP(B115, Properties!A:A, Properties!D:D, FALSE)</f>
        <v>116456</v>
      </c>
    </row>
    <row r="116" spans="1:14" x14ac:dyDescent="0.3">
      <c r="A116">
        <v>26</v>
      </c>
      <c r="B116">
        <v>121</v>
      </c>
      <c r="C116">
        <v>9</v>
      </c>
      <c r="D116" s="3">
        <v>233762</v>
      </c>
      <c r="E116" t="s">
        <v>259</v>
      </c>
      <c r="F116" s="1" t="s">
        <v>29</v>
      </c>
      <c r="G116" t="str">
        <f>_xlfn.XLOOKUP(B116, Properties!A:A, Properties!B:B, FALSE)</f>
        <v>Novi Sad</v>
      </c>
      <c r="H116" t="str">
        <f>_xlfn.XLOOKUP(C116, Agents!A:A, Agents!B:B, FALSE)</f>
        <v>Ivan Stankovic</v>
      </c>
      <c r="I116" t="str">
        <f t="shared" si="5"/>
        <v>2024-08</v>
      </c>
      <c r="J116" s="5" t="str">
        <f t="shared" si="6"/>
        <v>Luxury</v>
      </c>
      <c r="K116" s="5" t="str">
        <f t="shared" si="7"/>
        <v>Medium</v>
      </c>
      <c r="L116" s="5" t="str">
        <f t="shared" si="8"/>
        <v>Yes</v>
      </c>
      <c r="M116" s="5" t="str">
        <f t="shared" si="9"/>
        <v>Ok</v>
      </c>
      <c r="N116" s="3">
        <f>_xlfn.XLOOKUP(B116, Properties!A:A, Properties!D:D, FALSE)</f>
        <v>116051</v>
      </c>
    </row>
    <row r="117" spans="1:14" x14ac:dyDescent="0.3">
      <c r="A117">
        <v>169</v>
      </c>
      <c r="B117">
        <v>96</v>
      </c>
      <c r="C117">
        <v>8</v>
      </c>
      <c r="D117" s="3">
        <v>232892</v>
      </c>
      <c r="E117" t="s">
        <v>257</v>
      </c>
      <c r="F117" s="1" t="s">
        <v>50</v>
      </c>
      <c r="G117" t="str">
        <f>_xlfn.XLOOKUP(B117, Properties!A:A, Properties!B:B, FALSE)</f>
        <v>Nis</v>
      </c>
      <c r="H117" t="str">
        <f>_xlfn.XLOOKUP(C117, Agents!A:A, Agents!B:B, FALSE)</f>
        <v>Mina Lukic</v>
      </c>
      <c r="I117" t="str">
        <f t="shared" si="5"/>
        <v>2025-04</v>
      </c>
      <c r="J117" s="5" t="str">
        <f t="shared" si="6"/>
        <v>Luxury</v>
      </c>
      <c r="K117" s="5" t="str">
        <f t="shared" si="7"/>
        <v>Medium</v>
      </c>
      <c r="L117" s="5" t="str">
        <f t="shared" si="8"/>
        <v>No</v>
      </c>
      <c r="M117" s="5" t="str">
        <f t="shared" si="9"/>
        <v>Attention Needed</v>
      </c>
      <c r="N117" s="3">
        <f>_xlfn.XLOOKUP(B117, Properties!A:A, Properties!D:D, FALSE)</f>
        <v>205076</v>
      </c>
    </row>
    <row r="118" spans="1:14" x14ac:dyDescent="0.3">
      <c r="A118">
        <v>143</v>
      </c>
      <c r="B118">
        <v>241</v>
      </c>
      <c r="C118">
        <v>1</v>
      </c>
      <c r="D118" s="3">
        <v>232837</v>
      </c>
      <c r="E118" t="s">
        <v>257</v>
      </c>
      <c r="F118" s="1" t="s">
        <v>52</v>
      </c>
      <c r="G118" t="str">
        <f>_xlfn.XLOOKUP(B118, Properties!A:A, Properties!B:B, FALSE)</f>
        <v>Becej</v>
      </c>
      <c r="H118" t="str">
        <f>_xlfn.XLOOKUP(C118, Agents!A:A, Agents!B:B, FALSE)</f>
        <v>Ana Markovic</v>
      </c>
      <c r="I118" t="str">
        <f t="shared" si="5"/>
        <v>2024-07</v>
      </c>
      <c r="J118" s="5" t="str">
        <f t="shared" si="6"/>
        <v>Luxury</v>
      </c>
      <c r="K118" s="5" t="str">
        <f t="shared" si="7"/>
        <v>Medium</v>
      </c>
      <c r="L118" s="5" t="str">
        <f t="shared" si="8"/>
        <v>No</v>
      </c>
      <c r="M118" s="5" t="str">
        <f t="shared" si="9"/>
        <v>Attention Needed</v>
      </c>
      <c r="N118" s="3">
        <f>_xlfn.XLOOKUP(B118, Properties!A:A, Properties!D:D, FALSE)</f>
        <v>210714</v>
      </c>
    </row>
    <row r="119" spans="1:14" x14ac:dyDescent="0.3">
      <c r="A119">
        <v>105</v>
      </c>
      <c r="B119">
        <v>169</v>
      </c>
      <c r="C119">
        <v>2</v>
      </c>
      <c r="D119" s="3">
        <v>232670</v>
      </c>
      <c r="E119" t="s">
        <v>257</v>
      </c>
      <c r="F119" s="1" t="s">
        <v>301</v>
      </c>
      <c r="G119" t="str">
        <f>_xlfn.XLOOKUP(B119, Properties!A:A, Properties!B:B, FALSE)</f>
        <v>Becej</v>
      </c>
      <c r="H119" t="str">
        <f>_xlfn.XLOOKUP(C119, Agents!A:A, Agents!B:B, FALSE)</f>
        <v>Jelena Petrovic</v>
      </c>
      <c r="I119" t="str">
        <f t="shared" si="5"/>
        <v>2024-05</v>
      </c>
      <c r="J119" s="5" t="str">
        <f t="shared" si="6"/>
        <v>Luxury</v>
      </c>
      <c r="K119" s="5" t="str">
        <f t="shared" si="7"/>
        <v>Medium</v>
      </c>
      <c r="L119" s="5" t="str">
        <f t="shared" si="8"/>
        <v>No</v>
      </c>
      <c r="M119" s="5" t="str">
        <f t="shared" si="9"/>
        <v>Attention Needed</v>
      </c>
      <c r="N119" s="3">
        <f>_xlfn.XLOOKUP(B119, Properties!A:A, Properties!D:D, FALSE)</f>
        <v>157986</v>
      </c>
    </row>
    <row r="120" spans="1:14" x14ac:dyDescent="0.3">
      <c r="A120">
        <v>212</v>
      </c>
      <c r="B120">
        <v>284</v>
      </c>
      <c r="C120">
        <v>5</v>
      </c>
      <c r="D120" s="3">
        <v>232558</v>
      </c>
      <c r="E120" t="s">
        <v>259</v>
      </c>
      <c r="F120" s="1" t="s">
        <v>346</v>
      </c>
      <c r="G120" t="str">
        <f>_xlfn.XLOOKUP(B120, Properties!A:A, Properties!B:B, FALSE)</f>
        <v>Subotica</v>
      </c>
      <c r="H120" t="str">
        <f>_xlfn.XLOOKUP(C120, Agents!A:A, Agents!B:B, FALSE)</f>
        <v>Mina Lukic</v>
      </c>
      <c r="I120" t="str">
        <f t="shared" si="5"/>
        <v>2024-09</v>
      </c>
      <c r="J120" s="5" t="str">
        <f t="shared" si="6"/>
        <v>Luxury</v>
      </c>
      <c r="K120" s="5" t="str">
        <f t="shared" si="7"/>
        <v>Medium</v>
      </c>
      <c r="L120" s="5" t="str">
        <f t="shared" si="8"/>
        <v>Yes</v>
      </c>
      <c r="M120" s="5" t="str">
        <f t="shared" si="9"/>
        <v>Ok</v>
      </c>
      <c r="N120" s="3">
        <f>_xlfn.XLOOKUP(B120, Properties!A:A, Properties!D:D, FALSE)</f>
        <v>212845</v>
      </c>
    </row>
    <row r="121" spans="1:14" x14ac:dyDescent="0.3">
      <c r="A121">
        <v>449</v>
      </c>
      <c r="B121">
        <v>64</v>
      </c>
      <c r="C121">
        <v>10</v>
      </c>
      <c r="D121" s="3">
        <v>231343</v>
      </c>
      <c r="E121" t="s">
        <v>257</v>
      </c>
      <c r="F121" s="1" t="s">
        <v>410</v>
      </c>
      <c r="G121" t="str">
        <f>_xlfn.XLOOKUP(B121, Properties!A:A, Properties!B:B, FALSE)</f>
        <v>Becej</v>
      </c>
      <c r="H121" t="str">
        <f>_xlfn.XLOOKUP(C121, Agents!A:A, Agents!B:B, FALSE)</f>
        <v>Marko Jovic</v>
      </c>
      <c r="I121" t="str">
        <f t="shared" si="5"/>
        <v>2024-06</v>
      </c>
      <c r="J121" s="5" t="str">
        <f t="shared" si="6"/>
        <v>Luxury</v>
      </c>
      <c r="K121" s="5" t="str">
        <f t="shared" si="7"/>
        <v>Medium</v>
      </c>
      <c r="L121" s="5" t="str">
        <f t="shared" si="8"/>
        <v>No</v>
      </c>
      <c r="M121" s="5" t="str">
        <f t="shared" si="9"/>
        <v>Attention Needed</v>
      </c>
      <c r="N121" s="3">
        <f>_xlfn.XLOOKUP(B121, Properties!A:A, Properties!D:D, FALSE)</f>
        <v>221122</v>
      </c>
    </row>
    <row r="122" spans="1:14" x14ac:dyDescent="0.3">
      <c r="A122">
        <v>476</v>
      </c>
      <c r="B122">
        <v>24</v>
      </c>
      <c r="C122">
        <v>8</v>
      </c>
      <c r="D122" s="3">
        <v>230791</v>
      </c>
      <c r="E122" t="s">
        <v>256</v>
      </c>
      <c r="F122" s="1" t="s">
        <v>413</v>
      </c>
      <c r="G122" t="str">
        <f>_xlfn.XLOOKUP(B122, Properties!A:A, Properties!B:B, FALSE)</f>
        <v>Belgrade</v>
      </c>
      <c r="H122" t="str">
        <f>_xlfn.XLOOKUP(C122, Agents!A:A, Agents!B:B, FALSE)</f>
        <v>Mina Lukic</v>
      </c>
      <c r="I122" t="str">
        <f t="shared" si="5"/>
        <v>2025-04</v>
      </c>
      <c r="J122" s="5" t="str">
        <f t="shared" si="6"/>
        <v>Luxury</v>
      </c>
      <c r="K122" s="5" t="str">
        <f t="shared" si="7"/>
        <v>Medium</v>
      </c>
      <c r="L122" s="5" t="str">
        <f t="shared" si="8"/>
        <v>No</v>
      </c>
      <c r="M122" s="5" t="str">
        <f t="shared" si="9"/>
        <v>Attention Needed</v>
      </c>
      <c r="N122" s="3">
        <f>_xlfn.XLOOKUP(B122, Properties!A:A, Properties!D:D, FALSE)</f>
        <v>245430</v>
      </c>
    </row>
    <row r="123" spans="1:14" x14ac:dyDescent="0.3">
      <c r="A123">
        <v>280</v>
      </c>
      <c r="B123">
        <v>70</v>
      </c>
      <c r="C123">
        <v>7</v>
      </c>
      <c r="D123" s="3">
        <v>230529</v>
      </c>
      <c r="E123" t="s">
        <v>256</v>
      </c>
      <c r="F123" s="1" t="s">
        <v>16</v>
      </c>
      <c r="G123" t="str">
        <f>_xlfn.XLOOKUP(B123, Properties!A:A, Properties!B:B, FALSE)</f>
        <v>Nis</v>
      </c>
      <c r="H123" t="str">
        <f>_xlfn.XLOOKUP(C123, Agents!A:A, Agents!B:B, FALSE)</f>
        <v>Ana Markovic</v>
      </c>
      <c r="I123" t="str">
        <f t="shared" si="5"/>
        <v>2024-08</v>
      </c>
      <c r="J123" s="5" t="str">
        <f t="shared" si="6"/>
        <v>Luxury</v>
      </c>
      <c r="K123" s="5" t="str">
        <f t="shared" si="7"/>
        <v>Medium</v>
      </c>
      <c r="L123" s="5" t="str">
        <f t="shared" si="8"/>
        <v>No</v>
      </c>
      <c r="M123" s="5" t="str">
        <f t="shared" si="9"/>
        <v>Attention Needed</v>
      </c>
      <c r="N123" s="3">
        <f>_xlfn.XLOOKUP(B123, Properties!A:A, Properties!D:D, FALSE)</f>
        <v>43261</v>
      </c>
    </row>
    <row r="124" spans="1:14" x14ac:dyDescent="0.3">
      <c r="A124">
        <v>20</v>
      </c>
      <c r="B124">
        <v>189</v>
      </c>
      <c r="C124">
        <v>5</v>
      </c>
      <c r="D124" s="3">
        <v>229767</v>
      </c>
      <c r="E124" t="s">
        <v>257</v>
      </c>
      <c r="F124" s="1" t="s">
        <v>176</v>
      </c>
      <c r="G124" t="str">
        <f>_xlfn.XLOOKUP(B124, Properties!A:A, Properties!B:B, FALSE)</f>
        <v>Nis</v>
      </c>
      <c r="H124" t="str">
        <f>_xlfn.XLOOKUP(C124, Agents!A:A, Agents!B:B, FALSE)</f>
        <v>Mina Lukic</v>
      </c>
      <c r="I124" t="str">
        <f t="shared" si="5"/>
        <v>2025-02</v>
      </c>
      <c r="J124" s="5" t="str">
        <f t="shared" si="6"/>
        <v>Luxury</v>
      </c>
      <c r="K124" s="5" t="str">
        <f t="shared" si="7"/>
        <v>Medium</v>
      </c>
      <c r="L124" s="5" t="str">
        <f t="shared" si="8"/>
        <v>No</v>
      </c>
      <c r="M124" s="5" t="str">
        <f t="shared" si="9"/>
        <v>Attention Needed</v>
      </c>
      <c r="N124" s="3">
        <f>_xlfn.XLOOKUP(B124, Properties!A:A, Properties!D:D, FALSE)</f>
        <v>111777</v>
      </c>
    </row>
    <row r="125" spans="1:14" x14ac:dyDescent="0.3">
      <c r="A125">
        <v>225</v>
      </c>
      <c r="B125">
        <v>246</v>
      </c>
      <c r="C125">
        <v>3</v>
      </c>
      <c r="D125" s="3">
        <v>229329</v>
      </c>
      <c r="E125" t="s">
        <v>257</v>
      </c>
      <c r="F125" s="1" t="s">
        <v>352</v>
      </c>
      <c r="G125" t="str">
        <f>_xlfn.XLOOKUP(B125, Properties!A:A, Properties!B:B, FALSE)</f>
        <v>Nis</v>
      </c>
      <c r="H125" t="str">
        <f>_xlfn.XLOOKUP(C125, Agents!A:A, Agents!B:B, FALSE)</f>
        <v>Ivan Stankovic</v>
      </c>
      <c r="I125" t="str">
        <f t="shared" si="5"/>
        <v>2024-03</v>
      </c>
      <c r="J125" s="5" t="str">
        <f t="shared" si="6"/>
        <v>Luxury</v>
      </c>
      <c r="K125" s="5" t="str">
        <f t="shared" si="7"/>
        <v>Medium</v>
      </c>
      <c r="L125" s="5" t="str">
        <f t="shared" si="8"/>
        <v>No</v>
      </c>
      <c r="M125" s="5" t="str">
        <f t="shared" si="9"/>
        <v>Attention Needed</v>
      </c>
      <c r="N125" s="3">
        <f>_xlfn.XLOOKUP(B125, Properties!A:A, Properties!D:D, FALSE)</f>
        <v>199773</v>
      </c>
    </row>
    <row r="126" spans="1:14" x14ac:dyDescent="0.3">
      <c r="A126">
        <v>344</v>
      </c>
      <c r="B126">
        <v>193</v>
      </c>
      <c r="C126">
        <v>7</v>
      </c>
      <c r="D126" s="3">
        <v>229267</v>
      </c>
      <c r="E126" t="s">
        <v>259</v>
      </c>
      <c r="F126" s="1" t="s">
        <v>389</v>
      </c>
      <c r="G126" t="str">
        <f>_xlfn.XLOOKUP(B126, Properties!A:A, Properties!B:B, FALSE)</f>
        <v>Belgrade</v>
      </c>
      <c r="H126" t="str">
        <f>_xlfn.XLOOKUP(C126, Agents!A:A, Agents!B:B, FALSE)</f>
        <v>Ana Markovic</v>
      </c>
      <c r="I126" t="str">
        <f t="shared" si="5"/>
        <v>2024-02</v>
      </c>
      <c r="J126" s="5" t="str">
        <f t="shared" si="6"/>
        <v>Luxury</v>
      </c>
      <c r="K126" s="5" t="str">
        <f t="shared" si="7"/>
        <v>Medium</v>
      </c>
      <c r="L126" s="5" t="str">
        <f t="shared" si="8"/>
        <v>Yes</v>
      </c>
      <c r="M126" s="5" t="str">
        <f t="shared" si="9"/>
        <v>Ok</v>
      </c>
      <c r="N126" s="3">
        <f>_xlfn.XLOOKUP(B126, Properties!A:A, Properties!D:D, FALSE)</f>
        <v>169655</v>
      </c>
    </row>
    <row r="127" spans="1:14" x14ac:dyDescent="0.3">
      <c r="A127">
        <v>361</v>
      </c>
      <c r="B127">
        <v>203</v>
      </c>
      <c r="C127">
        <v>6</v>
      </c>
      <c r="D127" s="3">
        <v>229171</v>
      </c>
      <c r="E127" t="s">
        <v>257</v>
      </c>
      <c r="F127" s="1" t="s">
        <v>264</v>
      </c>
      <c r="G127" t="str">
        <f>_xlfn.XLOOKUP(B127, Properties!A:A, Properties!B:B, FALSE)</f>
        <v>Nis</v>
      </c>
      <c r="H127" t="str">
        <f>_xlfn.XLOOKUP(C127, Agents!A:A, Agents!B:B, FALSE)</f>
        <v>Marko Jovic</v>
      </c>
      <c r="I127" t="str">
        <f t="shared" si="5"/>
        <v>2025-02</v>
      </c>
      <c r="J127" s="5" t="str">
        <f t="shared" si="6"/>
        <v>Luxury</v>
      </c>
      <c r="K127" s="5" t="str">
        <f t="shared" si="7"/>
        <v>Medium</v>
      </c>
      <c r="L127" s="5" t="str">
        <f t="shared" si="8"/>
        <v>No</v>
      </c>
      <c r="M127" s="5" t="str">
        <f t="shared" si="9"/>
        <v>Attention Needed</v>
      </c>
      <c r="N127" s="3">
        <f>_xlfn.XLOOKUP(B127, Properties!A:A, Properties!D:D, FALSE)</f>
        <v>118184</v>
      </c>
    </row>
    <row r="128" spans="1:14" x14ac:dyDescent="0.3">
      <c r="A128">
        <v>237</v>
      </c>
      <c r="B128">
        <v>141</v>
      </c>
      <c r="C128">
        <v>5</v>
      </c>
      <c r="D128" s="3">
        <v>229069</v>
      </c>
      <c r="E128" t="s">
        <v>259</v>
      </c>
      <c r="F128" s="1" t="s">
        <v>357</v>
      </c>
      <c r="G128" t="str">
        <f>_xlfn.XLOOKUP(B128, Properties!A:A, Properties!B:B, FALSE)</f>
        <v>Novi Sad</v>
      </c>
      <c r="H128" t="str">
        <f>_xlfn.XLOOKUP(C128, Agents!A:A, Agents!B:B, FALSE)</f>
        <v>Mina Lukic</v>
      </c>
      <c r="I128" t="str">
        <f t="shared" si="5"/>
        <v>2025-04</v>
      </c>
      <c r="J128" s="5" t="str">
        <f t="shared" si="6"/>
        <v>Luxury</v>
      </c>
      <c r="K128" s="5" t="str">
        <f t="shared" si="7"/>
        <v>Medium</v>
      </c>
      <c r="L128" s="5" t="str">
        <f t="shared" si="8"/>
        <v>Yes</v>
      </c>
      <c r="M128" s="5" t="str">
        <f t="shared" si="9"/>
        <v>Ok</v>
      </c>
      <c r="N128" s="3">
        <f>_xlfn.XLOOKUP(B128, Properties!A:A, Properties!D:D, FALSE)</f>
        <v>104392</v>
      </c>
    </row>
    <row r="129" spans="1:14" x14ac:dyDescent="0.3">
      <c r="A129">
        <v>331</v>
      </c>
      <c r="B129">
        <v>17</v>
      </c>
      <c r="C129">
        <v>2</v>
      </c>
      <c r="D129" s="3">
        <v>228843</v>
      </c>
      <c r="E129" t="s">
        <v>256</v>
      </c>
      <c r="F129" s="1" t="s">
        <v>383</v>
      </c>
      <c r="G129" t="str">
        <f>_xlfn.XLOOKUP(B129, Properties!A:A, Properties!B:B, FALSE)</f>
        <v>Subotica</v>
      </c>
      <c r="H129" t="str">
        <f>_xlfn.XLOOKUP(C129, Agents!A:A, Agents!B:B, FALSE)</f>
        <v>Jelena Petrovic</v>
      </c>
      <c r="I129" t="str">
        <f t="shared" si="5"/>
        <v>2024-07</v>
      </c>
      <c r="J129" s="5" t="str">
        <f t="shared" si="6"/>
        <v>Luxury</v>
      </c>
      <c r="K129" s="5" t="str">
        <f t="shared" si="7"/>
        <v>Medium</v>
      </c>
      <c r="L129" s="5" t="str">
        <f t="shared" si="8"/>
        <v>No</v>
      </c>
      <c r="M129" s="5" t="str">
        <f t="shared" si="9"/>
        <v>Attention Needed</v>
      </c>
      <c r="N129" s="3">
        <f>_xlfn.XLOOKUP(B129, Properties!A:A, Properties!D:D, FALSE)</f>
        <v>91024</v>
      </c>
    </row>
    <row r="130" spans="1:14" x14ac:dyDescent="0.3">
      <c r="A130">
        <v>304</v>
      </c>
      <c r="B130">
        <v>98</v>
      </c>
      <c r="C130">
        <v>1</v>
      </c>
      <c r="D130" s="3">
        <v>227744</v>
      </c>
      <c r="E130" t="s">
        <v>256</v>
      </c>
      <c r="F130" s="1" t="s">
        <v>212</v>
      </c>
      <c r="G130" t="str">
        <f>_xlfn.XLOOKUP(B130, Properties!A:A, Properties!B:B, FALSE)</f>
        <v>Novi Sad</v>
      </c>
      <c r="H130" t="str">
        <f>_xlfn.XLOOKUP(C130, Agents!A:A, Agents!B:B, FALSE)</f>
        <v>Ana Markovic</v>
      </c>
      <c r="I130" t="str">
        <f t="shared" ref="I130:I193" si="10">TEXT(F130, "YYYY-MM")</f>
        <v>2024-12</v>
      </c>
      <c r="J130" s="5" t="str">
        <f t="shared" ref="J130:J193" si="11">IF(D130&gt;200000, "Luxury", "Standard")</f>
        <v>Luxury</v>
      </c>
      <c r="K130" s="5" t="str">
        <f t="shared" ref="K130:K193" si="12">IF(D130&gt;250000, "High", IF(D130&gt;150000, "Medium", "Low"))</f>
        <v>Medium</v>
      </c>
      <c r="L130" s="5" t="str">
        <f t="shared" ref="L130:L193" si="13">IF(AND(E130="Sold", D130&gt;200000), "Yes", "No")</f>
        <v>No</v>
      </c>
      <c r="M130" s="5" t="str">
        <f t="shared" ref="M130:M193" si="14">IF(OR(E130="Pending", E130="Cancelled"), "Attention Needed", "Ok")</f>
        <v>Attention Needed</v>
      </c>
      <c r="N130" s="3">
        <f>_xlfn.XLOOKUP(B130, Properties!A:A, Properties!D:D, FALSE)</f>
        <v>60258</v>
      </c>
    </row>
    <row r="131" spans="1:14" x14ac:dyDescent="0.3">
      <c r="A131">
        <v>115</v>
      </c>
      <c r="B131">
        <v>173</v>
      </c>
      <c r="C131">
        <v>10</v>
      </c>
      <c r="D131" s="3">
        <v>227509</v>
      </c>
      <c r="E131" t="s">
        <v>259</v>
      </c>
      <c r="F131" s="1" t="s">
        <v>150</v>
      </c>
      <c r="G131" t="str">
        <f>_xlfn.XLOOKUP(B131, Properties!A:A, Properties!B:B, FALSE)</f>
        <v>Novi Sad</v>
      </c>
      <c r="H131" t="str">
        <f>_xlfn.XLOOKUP(C131, Agents!A:A, Agents!B:B, FALSE)</f>
        <v>Marko Jovic</v>
      </c>
      <c r="I131" t="str">
        <f t="shared" si="10"/>
        <v>2024-03</v>
      </c>
      <c r="J131" s="5" t="str">
        <f t="shared" si="11"/>
        <v>Luxury</v>
      </c>
      <c r="K131" s="5" t="str">
        <f t="shared" si="12"/>
        <v>Medium</v>
      </c>
      <c r="L131" s="5" t="str">
        <f t="shared" si="13"/>
        <v>Yes</v>
      </c>
      <c r="M131" s="5" t="str">
        <f t="shared" si="14"/>
        <v>Ok</v>
      </c>
      <c r="N131" s="3">
        <f>_xlfn.XLOOKUP(B131, Properties!A:A, Properties!D:D, FALSE)</f>
        <v>133290</v>
      </c>
    </row>
    <row r="132" spans="1:14" x14ac:dyDescent="0.3">
      <c r="A132">
        <v>487</v>
      </c>
      <c r="B132">
        <v>5</v>
      </c>
      <c r="C132">
        <v>6</v>
      </c>
      <c r="D132" s="3">
        <v>227276</v>
      </c>
      <c r="E132" t="s">
        <v>259</v>
      </c>
      <c r="F132" s="1" t="s">
        <v>324</v>
      </c>
      <c r="G132" t="str">
        <f>_xlfn.XLOOKUP(B132, Properties!A:A, Properties!B:B, FALSE)</f>
        <v>Novi Sad</v>
      </c>
      <c r="H132" t="str">
        <f>_xlfn.XLOOKUP(C132, Agents!A:A, Agents!B:B, FALSE)</f>
        <v>Marko Jovic</v>
      </c>
      <c r="I132" t="str">
        <f t="shared" si="10"/>
        <v>2025-03</v>
      </c>
      <c r="J132" s="5" t="str">
        <f t="shared" si="11"/>
        <v>Luxury</v>
      </c>
      <c r="K132" s="5" t="str">
        <f t="shared" si="12"/>
        <v>Medium</v>
      </c>
      <c r="L132" s="5" t="str">
        <f t="shared" si="13"/>
        <v>Yes</v>
      </c>
      <c r="M132" s="5" t="str">
        <f t="shared" si="14"/>
        <v>Ok</v>
      </c>
      <c r="N132" s="3">
        <f>_xlfn.XLOOKUP(B132, Properties!A:A, Properties!D:D, FALSE)</f>
        <v>177127</v>
      </c>
    </row>
    <row r="133" spans="1:14" x14ac:dyDescent="0.3">
      <c r="A133">
        <v>128</v>
      </c>
      <c r="B133">
        <v>28</v>
      </c>
      <c r="C133">
        <v>7</v>
      </c>
      <c r="D133" s="3">
        <v>226063</v>
      </c>
      <c r="E133" t="s">
        <v>257</v>
      </c>
      <c r="F133" s="1" t="s">
        <v>311</v>
      </c>
      <c r="G133" t="str">
        <f>_xlfn.XLOOKUP(B133, Properties!A:A, Properties!B:B, FALSE)</f>
        <v>Novi Sad</v>
      </c>
      <c r="H133" t="str">
        <f>_xlfn.XLOOKUP(C133, Agents!A:A, Agents!B:B, FALSE)</f>
        <v>Ana Markovic</v>
      </c>
      <c r="I133" t="str">
        <f t="shared" si="10"/>
        <v>2024-04</v>
      </c>
      <c r="J133" s="5" t="str">
        <f t="shared" si="11"/>
        <v>Luxury</v>
      </c>
      <c r="K133" s="5" t="str">
        <f t="shared" si="12"/>
        <v>Medium</v>
      </c>
      <c r="L133" s="5" t="str">
        <f t="shared" si="13"/>
        <v>No</v>
      </c>
      <c r="M133" s="5" t="str">
        <f t="shared" si="14"/>
        <v>Attention Needed</v>
      </c>
      <c r="N133" s="3">
        <f>_xlfn.XLOOKUP(B133, Properties!A:A, Properties!D:D, FALSE)</f>
        <v>66603</v>
      </c>
    </row>
    <row r="134" spans="1:14" x14ac:dyDescent="0.3">
      <c r="A134">
        <v>322</v>
      </c>
      <c r="B134">
        <v>112</v>
      </c>
      <c r="C134">
        <v>9</v>
      </c>
      <c r="D134" s="3">
        <v>225664</v>
      </c>
      <c r="E134" t="s">
        <v>256</v>
      </c>
      <c r="F134" s="1" t="s">
        <v>207</v>
      </c>
      <c r="G134" t="str">
        <f>_xlfn.XLOOKUP(B134, Properties!A:A, Properties!B:B, FALSE)</f>
        <v>Nis</v>
      </c>
      <c r="H134" t="str">
        <f>_xlfn.XLOOKUP(C134, Agents!A:A, Agents!B:B, FALSE)</f>
        <v>Ivan Stankovic</v>
      </c>
      <c r="I134" t="str">
        <f t="shared" si="10"/>
        <v>2024-01</v>
      </c>
      <c r="J134" s="5" t="str">
        <f t="shared" si="11"/>
        <v>Luxury</v>
      </c>
      <c r="K134" s="5" t="str">
        <f t="shared" si="12"/>
        <v>Medium</v>
      </c>
      <c r="L134" s="5" t="str">
        <f t="shared" si="13"/>
        <v>No</v>
      </c>
      <c r="M134" s="5" t="str">
        <f t="shared" si="14"/>
        <v>Attention Needed</v>
      </c>
      <c r="N134" s="3">
        <f>_xlfn.XLOOKUP(B134, Properties!A:A, Properties!D:D, FALSE)</f>
        <v>192702</v>
      </c>
    </row>
    <row r="135" spans="1:14" x14ac:dyDescent="0.3">
      <c r="A135">
        <v>166</v>
      </c>
      <c r="B135">
        <v>79</v>
      </c>
      <c r="C135">
        <v>8</v>
      </c>
      <c r="D135" s="3">
        <v>225042</v>
      </c>
      <c r="E135" t="s">
        <v>256</v>
      </c>
      <c r="F135" s="1" t="s">
        <v>325</v>
      </c>
      <c r="G135" t="str">
        <f>_xlfn.XLOOKUP(B135, Properties!A:A, Properties!B:B, FALSE)</f>
        <v>Nis</v>
      </c>
      <c r="H135" t="str">
        <f>_xlfn.XLOOKUP(C135, Agents!A:A, Agents!B:B, FALSE)</f>
        <v>Mina Lukic</v>
      </c>
      <c r="I135" t="str">
        <f t="shared" si="10"/>
        <v>2024-08</v>
      </c>
      <c r="J135" s="5" t="str">
        <f t="shared" si="11"/>
        <v>Luxury</v>
      </c>
      <c r="K135" s="5" t="str">
        <f t="shared" si="12"/>
        <v>Medium</v>
      </c>
      <c r="L135" s="5" t="str">
        <f t="shared" si="13"/>
        <v>No</v>
      </c>
      <c r="M135" s="5" t="str">
        <f t="shared" si="14"/>
        <v>Attention Needed</v>
      </c>
      <c r="N135" s="3">
        <f>_xlfn.XLOOKUP(B135, Properties!A:A, Properties!D:D, FALSE)</f>
        <v>226077</v>
      </c>
    </row>
    <row r="136" spans="1:14" x14ac:dyDescent="0.3">
      <c r="A136">
        <v>469</v>
      </c>
      <c r="B136">
        <v>265</v>
      </c>
      <c r="C136">
        <v>5</v>
      </c>
      <c r="D136" s="3">
        <v>224966</v>
      </c>
      <c r="E136" t="s">
        <v>259</v>
      </c>
      <c r="F136" s="1" t="s">
        <v>168</v>
      </c>
      <c r="G136" t="str">
        <f>_xlfn.XLOOKUP(B136, Properties!A:A, Properties!B:B, FALSE)</f>
        <v>Nis</v>
      </c>
      <c r="H136" t="str">
        <f>_xlfn.XLOOKUP(C136, Agents!A:A, Agents!B:B, FALSE)</f>
        <v>Mina Lukic</v>
      </c>
      <c r="I136" t="str">
        <f t="shared" si="10"/>
        <v>2024-03</v>
      </c>
      <c r="J136" s="5" t="str">
        <f t="shared" si="11"/>
        <v>Luxury</v>
      </c>
      <c r="K136" s="5" t="str">
        <f t="shared" si="12"/>
        <v>Medium</v>
      </c>
      <c r="L136" s="5" t="str">
        <f t="shared" si="13"/>
        <v>Yes</v>
      </c>
      <c r="M136" s="5" t="str">
        <f t="shared" si="14"/>
        <v>Ok</v>
      </c>
      <c r="N136" s="3">
        <f>_xlfn.XLOOKUP(B136, Properties!A:A, Properties!D:D, FALSE)</f>
        <v>138330</v>
      </c>
    </row>
    <row r="137" spans="1:14" x14ac:dyDescent="0.3">
      <c r="A137">
        <v>436</v>
      </c>
      <c r="B137">
        <v>185</v>
      </c>
      <c r="C137">
        <v>5</v>
      </c>
      <c r="D137" s="3">
        <v>224953</v>
      </c>
      <c r="E137" t="s">
        <v>259</v>
      </c>
      <c r="F137" s="1" t="s">
        <v>408</v>
      </c>
      <c r="G137" t="str">
        <f>_xlfn.XLOOKUP(B137, Properties!A:A, Properties!B:B, FALSE)</f>
        <v>Becej</v>
      </c>
      <c r="H137" t="str">
        <f>_xlfn.XLOOKUP(C137, Agents!A:A, Agents!B:B, FALSE)</f>
        <v>Mina Lukic</v>
      </c>
      <c r="I137" t="str">
        <f t="shared" si="10"/>
        <v>2024-12</v>
      </c>
      <c r="J137" s="5" t="str">
        <f t="shared" si="11"/>
        <v>Luxury</v>
      </c>
      <c r="K137" s="5" t="str">
        <f t="shared" si="12"/>
        <v>Medium</v>
      </c>
      <c r="L137" s="5" t="str">
        <f t="shared" si="13"/>
        <v>Yes</v>
      </c>
      <c r="M137" s="5" t="str">
        <f t="shared" si="14"/>
        <v>Ok</v>
      </c>
      <c r="N137" s="3">
        <f>_xlfn.XLOOKUP(B137, Properties!A:A, Properties!D:D, FALSE)</f>
        <v>177841</v>
      </c>
    </row>
    <row r="138" spans="1:14" x14ac:dyDescent="0.3">
      <c r="A138">
        <v>29</v>
      </c>
      <c r="B138">
        <v>144</v>
      </c>
      <c r="C138">
        <v>1</v>
      </c>
      <c r="D138" s="3">
        <v>224264</v>
      </c>
      <c r="E138" t="s">
        <v>257</v>
      </c>
      <c r="F138" s="1" t="s">
        <v>12</v>
      </c>
      <c r="G138" t="str">
        <f>_xlfn.XLOOKUP(B138, Properties!A:A, Properties!B:B, FALSE)</f>
        <v>Novi Sad</v>
      </c>
      <c r="H138" t="str">
        <f>_xlfn.XLOOKUP(C138, Agents!A:A, Agents!B:B, FALSE)</f>
        <v>Ana Markovic</v>
      </c>
      <c r="I138" t="str">
        <f t="shared" si="10"/>
        <v>2024-04</v>
      </c>
      <c r="J138" s="5" t="str">
        <f t="shared" si="11"/>
        <v>Luxury</v>
      </c>
      <c r="K138" s="5" t="str">
        <f t="shared" si="12"/>
        <v>Medium</v>
      </c>
      <c r="L138" s="5" t="str">
        <f t="shared" si="13"/>
        <v>No</v>
      </c>
      <c r="M138" s="5" t="str">
        <f t="shared" si="14"/>
        <v>Attention Needed</v>
      </c>
      <c r="N138" s="3">
        <f>_xlfn.XLOOKUP(B138, Properties!A:A, Properties!D:D, FALSE)</f>
        <v>36402</v>
      </c>
    </row>
    <row r="139" spans="1:14" x14ac:dyDescent="0.3">
      <c r="A139">
        <v>178</v>
      </c>
      <c r="B139">
        <v>185</v>
      </c>
      <c r="C139">
        <v>9</v>
      </c>
      <c r="D139" s="3">
        <v>223415</v>
      </c>
      <c r="E139" t="s">
        <v>257</v>
      </c>
      <c r="F139" s="1" t="s">
        <v>44</v>
      </c>
      <c r="G139" t="str">
        <f>_xlfn.XLOOKUP(B139, Properties!A:A, Properties!B:B, FALSE)</f>
        <v>Becej</v>
      </c>
      <c r="H139" t="str">
        <f>_xlfn.XLOOKUP(C139, Agents!A:A, Agents!B:B, FALSE)</f>
        <v>Ivan Stankovic</v>
      </c>
      <c r="I139" t="str">
        <f t="shared" si="10"/>
        <v>2024-08</v>
      </c>
      <c r="J139" s="5" t="str">
        <f t="shared" si="11"/>
        <v>Luxury</v>
      </c>
      <c r="K139" s="5" t="str">
        <f t="shared" si="12"/>
        <v>Medium</v>
      </c>
      <c r="L139" s="5" t="str">
        <f t="shared" si="13"/>
        <v>No</v>
      </c>
      <c r="M139" s="5" t="str">
        <f t="shared" si="14"/>
        <v>Attention Needed</v>
      </c>
      <c r="N139" s="3">
        <f>_xlfn.XLOOKUP(B139, Properties!A:A, Properties!D:D, FALSE)</f>
        <v>177841</v>
      </c>
    </row>
    <row r="140" spans="1:14" x14ac:dyDescent="0.3">
      <c r="A140">
        <v>153</v>
      </c>
      <c r="B140">
        <v>170</v>
      </c>
      <c r="C140">
        <v>5</v>
      </c>
      <c r="D140" s="3">
        <v>222948</v>
      </c>
      <c r="E140" t="s">
        <v>259</v>
      </c>
      <c r="F140" s="1" t="s">
        <v>125</v>
      </c>
      <c r="G140" t="str">
        <f>_xlfn.XLOOKUP(B140, Properties!A:A, Properties!B:B, FALSE)</f>
        <v>Subotica</v>
      </c>
      <c r="H140" t="str">
        <f>_xlfn.XLOOKUP(C140, Agents!A:A, Agents!B:B, FALSE)</f>
        <v>Mina Lukic</v>
      </c>
      <c r="I140" t="str">
        <f t="shared" si="10"/>
        <v>2024-08</v>
      </c>
      <c r="J140" s="5" t="str">
        <f t="shared" si="11"/>
        <v>Luxury</v>
      </c>
      <c r="K140" s="5" t="str">
        <f t="shared" si="12"/>
        <v>Medium</v>
      </c>
      <c r="L140" s="5" t="str">
        <f t="shared" si="13"/>
        <v>Yes</v>
      </c>
      <c r="M140" s="5" t="str">
        <f t="shared" si="14"/>
        <v>Ok</v>
      </c>
      <c r="N140" s="3">
        <f>_xlfn.XLOOKUP(B140, Properties!A:A, Properties!D:D, FALSE)</f>
        <v>157308</v>
      </c>
    </row>
    <row r="141" spans="1:14" x14ac:dyDescent="0.3">
      <c r="A141">
        <v>167</v>
      </c>
      <c r="B141">
        <v>40</v>
      </c>
      <c r="C141">
        <v>10</v>
      </c>
      <c r="D141" s="3">
        <v>222387</v>
      </c>
      <c r="E141" t="s">
        <v>259</v>
      </c>
      <c r="F141" s="1" t="s">
        <v>326</v>
      </c>
      <c r="G141" t="str">
        <f>_xlfn.XLOOKUP(B141, Properties!A:A, Properties!B:B, FALSE)</f>
        <v>Subotica</v>
      </c>
      <c r="H141" t="str">
        <f>_xlfn.XLOOKUP(C141, Agents!A:A, Agents!B:B, FALSE)</f>
        <v>Marko Jovic</v>
      </c>
      <c r="I141" t="str">
        <f t="shared" si="10"/>
        <v>2024-07</v>
      </c>
      <c r="J141" s="5" t="str">
        <f t="shared" si="11"/>
        <v>Luxury</v>
      </c>
      <c r="K141" s="5" t="str">
        <f t="shared" si="12"/>
        <v>Medium</v>
      </c>
      <c r="L141" s="5" t="str">
        <f t="shared" si="13"/>
        <v>Yes</v>
      </c>
      <c r="M141" s="5" t="str">
        <f t="shared" si="14"/>
        <v>Ok</v>
      </c>
      <c r="N141" s="3">
        <f>_xlfn.XLOOKUP(B141, Properties!A:A, Properties!D:D, FALSE)</f>
        <v>163085</v>
      </c>
    </row>
    <row r="142" spans="1:14" x14ac:dyDescent="0.3">
      <c r="A142">
        <v>411</v>
      </c>
      <c r="B142">
        <v>59</v>
      </c>
      <c r="C142">
        <v>5</v>
      </c>
      <c r="D142" s="3">
        <v>222341</v>
      </c>
      <c r="E142" t="s">
        <v>257</v>
      </c>
      <c r="F142" s="1" t="s">
        <v>404</v>
      </c>
      <c r="G142" t="str">
        <f>_xlfn.XLOOKUP(B142, Properties!A:A, Properties!B:B, FALSE)</f>
        <v>Novi Sad</v>
      </c>
      <c r="H142" t="str">
        <f>_xlfn.XLOOKUP(C142, Agents!A:A, Agents!B:B, FALSE)</f>
        <v>Mina Lukic</v>
      </c>
      <c r="I142" t="str">
        <f t="shared" si="10"/>
        <v>2024-10</v>
      </c>
      <c r="J142" s="5" t="str">
        <f t="shared" si="11"/>
        <v>Luxury</v>
      </c>
      <c r="K142" s="5" t="str">
        <f t="shared" si="12"/>
        <v>Medium</v>
      </c>
      <c r="L142" s="5" t="str">
        <f t="shared" si="13"/>
        <v>No</v>
      </c>
      <c r="M142" s="5" t="str">
        <f t="shared" si="14"/>
        <v>Attention Needed</v>
      </c>
      <c r="N142" s="3">
        <f>_xlfn.XLOOKUP(B142, Properties!A:A, Properties!D:D, FALSE)</f>
        <v>205368</v>
      </c>
    </row>
    <row r="143" spans="1:14" x14ac:dyDescent="0.3">
      <c r="A143">
        <v>210</v>
      </c>
      <c r="B143">
        <v>136</v>
      </c>
      <c r="C143">
        <v>6</v>
      </c>
      <c r="D143" s="3">
        <v>221856</v>
      </c>
      <c r="E143" t="s">
        <v>256</v>
      </c>
      <c r="F143" s="1" t="s">
        <v>135</v>
      </c>
      <c r="G143" t="str">
        <f>_xlfn.XLOOKUP(B143, Properties!A:A, Properties!B:B, FALSE)</f>
        <v>Becej</v>
      </c>
      <c r="H143" t="str">
        <f>_xlfn.XLOOKUP(C143, Agents!A:A, Agents!B:B, FALSE)</f>
        <v>Marko Jovic</v>
      </c>
      <c r="I143" t="str">
        <f t="shared" si="10"/>
        <v>2024-01</v>
      </c>
      <c r="J143" s="5" t="str">
        <f t="shared" si="11"/>
        <v>Luxury</v>
      </c>
      <c r="K143" s="5" t="str">
        <f t="shared" si="12"/>
        <v>Medium</v>
      </c>
      <c r="L143" s="5" t="str">
        <f t="shared" si="13"/>
        <v>No</v>
      </c>
      <c r="M143" s="5" t="str">
        <f t="shared" si="14"/>
        <v>Attention Needed</v>
      </c>
      <c r="N143" s="3">
        <f>_xlfn.XLOOKUP(B143, Properties!A:A, Properties!D:D, FALSE)</f>
        <v>191353</v>
      </c>
    </row>
    <row r="144" spans="1:14" x14ac:dyDescent="0.3">
      <c r="A144">
        <v>14</v>
      </c>
      <c r="B144">
        <v>103</v>
      </c>
      <c r="C144">
        <v>3</v>
      </c>
      <c r="D144" s="3">
        <v>221814</v>
      </c>
      <c r="E144" t="s">
        <v>257</v>
      </c>
      <c r="F144" s="1" t="s">
        <v>190</v>
      </c>
      <c r="G144" t="str">
        <f>_xlfn.XLOOKUP(B144, Properties!A:A, Properties!B:B, FALSE)</f>
        <v>Becej</v>
      </c>
      <c r="H144" t="str">
        <f>_xlfn.XLOOKUP(C144, Agents!A:A, Agents!B:B, FALSE)</f>
        <v>Ivan Stankovic</v>
      </c>
      <c r="I144" t="str">
        <f t="shared" si="10"/>
        <v>2024-09</v>
      </c>
      <c r="J144" s="5" t="str">
        <f t="shared" si="11"/>
        <v>Luxury</v>
      </c>
      <c r="K144" s="5" t="str">
        <f t="shared" si="12"/>
        <v>Medium</v>
      </c>
      <c r="L144" s="5" t="str">
        <f t="shared" si="13"/>
        <v>No</v>
      </c>
      <c r="M144" s="5" t="str">
        <f t="shared" si="14"/>
        <v>Attention Needed</v>
      </c>
      <c r="N144" s="3">
        <f>_xlfn.XLOOKUP(B144, Properties!A:A, Properties!D:D, FALSE)</f>
        <v>41557</v>
      </c>
    </row>
    <row r="145" spans="1:14" x14ac:dyDescent="0.3">
      <c r="A145">
        <v>18</v>
      </c>
      <c r="B145">
        <v>116</v>
      </c>
      <c r="C145">
        <v>7</v>
      </c>
      <c r="D145" s="3">
        <v>221771</v>
      </c>
      <c r="E145" t="s">
        <v>257</v>
      </c>
      <c r="F145" s="1" t="s">
        <v>211</v>
      </c>
      <c r="G145" t="str">
        <f>_xlfn.XLOOKUP(B145, Properties!A:A, Properties!B:B, FALSE)</f>
        <v>Novi Sad</v>
      </c>
      <c r="H145" t="str">
        <f>_xlfn.XLOOKUP(C145, Agents!A:A, Agents!B:B, FALSE)</f>
        <v>Ana Markovic</v>
      </c>
      <c r="I145" t="str">
        <f t="shared" si="10"/>
        <v>2024-02</v>
      </c>
      <c r="J145" s="5" t="str">
        <f t="shared" si="11"/>
        <v>Luxury</v>
      </c>
      <c r="K145" s="5" t="str">
        <f t="shared" si="12"/>
        <v>Medium</v>
      </c>
      <c r="L145" s="5" t="str">
        <f t="shared" si="13"/>
        <v>No</v>
      </c>
      <c r="M145" s="5" t="str">
        <f t="shared" si="14"/>
        <v>Attention Needed</v>
      </c>
      <c r="N145" s="3">
        <f>_xlfn.XLOOKUP(B145, Properties!A:A, Properties!D:D, FALSE)</f>
        <v>71732</v>
      </c>
    </row>
    <row r="146" spans="1:14" x14ac:dyDescent="0.3">
      <c r="A146">
        <v>117</v>
      </c>
      <c r="B146">
        <v>225</v>
      </c>
      <c r="C146">
        <v>1</v>
      </c>
      <c r="D146" s="3">
        <v>220997</v>
      </c>
      <c r="E146" t="s">
        <v>256</v>
      </c>
      <c r="F146" s="1" t="s">
        <v>306</v>
      </c>
      <c r="G146" t="str">
        <f>_xlfn.XLOOKUP(B146, Properties!A:A, Properties!B:B, FALSE)</f>
        <v>Belgrade</v>
      </c>
      <c r="H146" t="str">
        <f>_xlfn.XLOOKUP(C146, Agents!A:A, Agents!B:B, FALSE)</f>
        <v>Ana Markovic</v>
      </c>
      <c r="I146" t="str">
        <f t="shared" si="10"/>
        <v>2024-12</v>
      </c>
      <c r="J146" s="5" t="str">
        <f t="shared" si="11"/>
        <v>Luxury</v>
      </c>
      <c r="K146" s="5" t="str">
        <f t="shared" si="12"/>
        <v>Medium</v>
      </c>
      <c r="L146" s="5" t="str">
        <f t="shared" si="13"/>
        <v>No</v>
      </c>
      <c r="M146" s="5" t="str">
        <f t="shared" si="14"/>
        <v>Attention Needed</v>
      </c>
      <c r="N146" s="3">
        <f>_xlfn.XLOOKUP(B146, Properties!A:A, Properties!D:D, FALSE)</f>
        <v>212823</v>
      </c>
    </row>
    <row r="147" spans="1:14" x14ac:dyDescent="0.3">
      <c r="A147">
        <v>30</v>
      </c>
      <c r="B147">
        <v>228</v>
      </c>
      <c r="C147">
        <v>8</v>
      </c>
      <c r="D147" s="3">
        <v>220151</v>
      </c>
      <c r="E147" t="s">
        <v>259</v>
      </c>
      <c r="F147" s="1" t="s">
        <v>270</v>
      </c>
      <c r="G147" t="str">
        <f>_xlfn.XLOOKUP(B147, Properties!A:A, Properties!B:B, FALSE)</f>
        <v>Becej</v>
      </c>
      <c r="H147" t="str">
        <f>_xlfn.XLOOKUP(C147, Agents!A:A, Agents!B:B, FALSE)</f>
        <v>Mina Lukic</v>
      </c>
      <c r="I147" t="str">
        <f t="shared" si="10"/>
        <v>2024-02</v>
      </c>
      <c r="J147" s="5" t="str">
        <f t="shared" si="11"/>
        <v>Luxury</v>
      </c>
      <c r="K147" s="5" t="str">
        <f t="shared" si="12"/>
        <v>Medium</v>
      </c>
      <c r="L147" s="5" t="str">
        <f t="shared" si="13"/>
        <v>Yes</v>
      </c>
      <c r="M147" s="5" t="str">
        <f t="shared" si="14"/>
        <v>Ok</v>
      </c>
      <c r="N147" s="3">
        <f>_xlfn.XLOOKUP(B147, Properties!A:A, Properties!D:D, FALSE)</f>
        <v>78329</v>
      </c>
    </row>
    <row r="148" spans="1:14" x14ac:dyDescent="0.3">
      <c r="A148">
        <v>348</v>
      </c>
      <c r="B148">
        <v>3</v>
      </c>
      <c r="C148">
        <v>5</v>
      </c>
      <c r="D148" s="3">
        <v>218700</v>
      </c>
      <c r="E148" t="s">
        <v>256</v>
      </c>
      <c r="F148" s="1" t="s">
        <v>239</v>
      </c>
      <c r="G148" t="str">
        <f>_xlfn.XLOOKUP(B148, Properties!A:A, Properties!B:B, FALSE)</f>
        <v>Belgrade</v>
      </c>
      <c r="H148" t="str">
        <f>_xlfn.XLOOKUP(C148, Agents!A:A, Agents!B:B, FALSE)</f>
        <v>Mina Lukic</v>
      </c>
      <c r="I148" t="str">
        <f t="shared" si="10"/>
        <v>2025-01</v>
      </c>
      <c r="J148" s="5" t="str">
        <f t="shared" si="11"/>
        <v>Luxury</v>
      </c>
      <c r="K148" s="5" t="str">
        <f t="shared" si="12"/>
        <v>Medium</v>
      </c>
      <c r="L148" s="5" t="str">
        <f t="shared" si="13"/>
        <v>No</v>
      </c>
      <c r="M148" s="5" t="str">
        <f t="shared" si="14"/>
        <v>Attention Needed</v>
      </c>
      <c r="N148" s="3">
        <f>_xlfn.XLOOKUP(B148, Properties!A:A, Properties!D:D, FALSE)</f>
        <v>184794</v>
      </c>
    </row>
    <row r="149" spans="1:14" x14ac:dyDescent="0.3">
      <c r="A149">
        <v>310</v>
      </c>
      <c r="B149">
        <v>239</v>
      </c>
      <c r="C149">
        <v>9</v>
      </c>
      <c r="D149" s="3">
        <v>218355</v>
      </c>
      <c r="E149" t="s">
        <v>257</v>
      </c>
      <c r="F149" s="1" t="s">
        <v>376</v>
      </c>
      <c r="G149" t="str">
        <f>_xlfn.XLOOKUP(B149, Properties!A:A, Properties!B:B, FALSE)</f>
        <v>Subotica</v>
      </c>
      <c r="H149" t="str">
        <f>_xlfn.XLOOKUP(C149, Agents!A:A, Agents!B:B, FALSE)</f>
        <v>Ivan Stankovic</v>
      </c>
      <c r="I149" t="str">
        <f t="shared" si="10"/>
        <v>2024-06</v>
      </c>
      <c r="J149" s="5" t="str">
        <f t="shared" si="11"/>
        <v>Luxury</v>
      </c>
      <c r="K149" s="5" t="str">
        <f t="shared" si="12"/>
        <v>Medium</v>
      </c>
      <c r="L149" s="5" t="str">
        <f t="shared" si="13"/>
        <v>No</v>
      </c>
      <c r="M149" s="5" t="str">
        <f t="shared" si="14"/>
        <v>Attention Needed</v>
      </c>
      <c r="N149" s="3">
        <f>_xlfn.XLOOKUP(B149, Properties!A:A, Properties!D:D, FALSE)</f>
        <v>71171</v>
      </c>
    </row>
    <row r="150" spans="1:14" x14ac:dyDescent="0.3">
      <c r="A150">
        <v>403</v>
      </c>
      <c r="B150">
        <v>231</v>
      </c>
      <c r="C150">
        <v>10</v>
      </c>
      <c r="D150" s="3">
        <v>218239</v>
      </c>
      <c r="E150" t="s">
        <v>259</v>
      </c>
      <c r="F150" s="1" t="s">
        <v>163</v>
      </c>
      <c r="G150" t="str">
        <f>_xlfn.XLOOKUP(B150, Properties!A:A, Properties!B:B, FALSE)</f>
        <v>Nis</v>
      </c>
      <c r="H150" t="str">
        <f>_xlfn.XLOOKUP(C150, Agents!A:A, Agents!B:B, FALSE)</f>
        <v>Marko Jovic</v>
      </c>
      <c r="I150" t="str">
        <f t="shared" si="10"/>
        <v>2025-05</v>
      </c>
      <c r="J150" s="5" t="str">
        <f t="shared" si="11"/>
        <v>Luxury</v>
      </c>
      <c r="K150" s="5" t="str">
        <f t="shared" si="12"/>
        <v>Medium</v>
      </c>
      <c r="L150" s="5" t="str">
        <f t="shared" si="13"/>
        <v>Yes</v>
      </c>
      <c r="M150" s="5" t="str">
        <f t="shared" si="14"/>
        <v>Ok</v>
      </c>
      <c r="N150" s="3">
        <f>_xlfn.XLOOKUP(B150, Properties!A:A, Properties!D:D, FALSE)</f>
        <v>69774</v>
      </c>
    </row>
    <row r="151" spans="1:14" x14ac:dyDescent="0.3">
      <c r="A151">
        <v>31</v>
      </c>
      <c r="B151">
        <v>189</v>
      </c>
      <c r="C151">
        <v>9</v>
      </c>
      <c r="D151" s="3">
        <v>218048</v>
      </c>
      <c r="E151" t="s">
        <v>257</v>
      </c>
      <c r="F151" s="1" t="s">
        <v>152</v>
      </c>
      <c r="G151" t="str">
        <f>_xlfn.XLOOKUP(B151, Properties!A:A, Properties!B:B, FALSE)</f>
        <v>Nis</v>
      </c>
      <c r="H151" t="str">
        <f>_xlfn.XLOOKUP(C151, Agents!A:A, Agents!B:B, FALSE)</f>
        <v>Ivan Stankovic</v>
      </c>
      <c r="I151" t="str">
        <f t="shared" si="10"/>
        <v>2024-02</v>
      </c>
      <c r="J151" s="5" t="str">
        <f t="shared" si="11"/>
        <v>Luxury</v>
      </c>
      <c r="K151" s="5" t="str">
        <f t="shared" si="12"/>
        <v>Medium</v>
      </c>
      <c r="L151" s="5" t="str">
        <f t="shared" si="13"/>
        <v>No</v>
      </c>
      <c r="M151" s="5" t="str">
        <f t="shared" si="14"/>
        <v>Attention Needed</v>
      </c>
      <c r="N151" s="3">
        <f>_xlfn.XLOOKUP(B151, Properties!A:A, Properties!D:D, FALSE)</f>
        <v>111777</v>
      </c>
    </row>
    <row r="152" spans="1:14" x14ac:dyDescent="0.3">
      <c r="A152">
        <v>498</v>
      </c>
      <c r="B152">
        <v>209</v>
      </c>
      <c r="C152">
        <v>2</v>
      </c>
      <c r="D152" s="3">
        <v>217845</v>
      </c>
      <c r="E152" t="s">
        <v>257</v>
      </c>
      <c r="F152" s="1" t="s">
        <v>423</v>
      </c>
      <c r="G152" t="str">
        <f>_xlfn.XLOOKUP(B152, Properties!A:A, Properties!B:B, FALSE)</f>
        <v>Becej</v>
      </c>
      <c r="H152" t="str">
        <f>_xlfn.XLOOKUP(C152, Agents!A:A, Agents!B:B, FALSE)</f>
        <v>Jelena Petrovic</v>
      </c>
      <c r="I152" t="str">
        <f t="shared" si="10"/>
        <v>2025-05</v>
      </c>
      <c r="J152" s="5" t="str">
        <f t="shared" si="11"/>
        <v>Luxury</v>
      </c>
      <c r="K152" s="5" t="str">
        <f t="shared" si="12"/>
        <v>Medium</v>
      </c>
      <c r="L152" s="5" t="str">
        <f t="shared" si="13"/>
        <v>No</v>
      </c>
      <c r="M152" s="5" t="str">
        <f t="shared" si="14"/>
        <v>Attention Needed</v>
      </c>
      <c r="N152" s="3">
        <f>_xlfn.XLOOKUP(B152, Properties!A:A, Properties!D:D, FALSE)</f>
        <v>175536</v>
      </c>
    </row>
    <row r="153" spans="1:14" x14ac:dyDescent="0.3">
      <c r="A153">
        <v>343</v>
      </c>
      <c r="B153">
        <v>231</v>
      </c>
      <c r="C153">
        <v>8</v>
      </c>
      <c r="D153" s="3">
        <v>216547</v>
      </c>
      <c r="E153" t="s">
        <v>259</v>
      </c>
      <c r="F153" s="1" t="s">
        <v>388</v>
      </c>
      <c r="G153" t="str">
        <f>_xlfn.XLOOKUP(B153, Properties!A:A, Properties!B:B, FALSE)</f>
        <v>Nis</v>
      </c>
      <c r="H153" t="str">
        <f>_xlfn.XLOOKUP(C153, Agents!A:A, Agents!B:B, FALSE)</f>
        <v>Mina Lukic</v>
      </c>
      <c r="I153" t="str">
        <f t="shared" si="10"/>
        <v>2024-10</v>
      </c>
      <c r="J153" s="5" t="str">
        <f t="shared" si="11"/>
        <v>Luxury</v>
      </c>
      <c r="K153" s="5" t="str">
        <f t="shared" si="12"/>
        <v>Medium</v>
      </c>
      <c r="L153" s="5" t="str">
        <f t="shared" si="13"/>
        <v>Yes</v>
      </c>
      <c r="M153" s="5" t="str">
        <f t="shared" si="14"/>
        <v>Ok</v>
      </c>
      <c r="N153" s="3">
        <f>_xlfn.XLOOKUP(B153, Properties!A:A, Properties!D:D, FALSE)</f>
        <v>69774</v>
      </c>
    </row>
    <row r="154" spans="1:14" x14ac:dyDescent="0.3">
      <c r="A154">
        <v>232</v>
      </c>
      <c r="B154">
        <v>273</v>
      </c>
      <c r="C154">
        <v>6</v>
      </c>
      <c r="D154" s="3">
        <v>215748</v>
      </c>
      <c r="E154" t="s">
        <v>257</v>
      </c>
      <c r="F154" s="1" t="s">
        <v>306</v>
      </c>
      <c r="G154" t="str">
        <f>_xlfn.XLOOKUP(B154, Properties!A:A, Properties!B:B, FALSE)</f>
        <v>Belgrade</v>
      </c>
      <c r="H154" t="str">
        <f>_xlfn.XLOOKUP(C154, Agents!A:A, Agents!B:B, FALSE)</f>
        <v>Marko Jovic</v>
      </c>
      <c r="I154" t="str">
        <f t="shared" si="10"/>
        <v>2024-12</v>
      </c>
      <c r="J154" s="5" t="str">
        <f t="shared" si="11"/>
        <v>Luxury</v>
      </c>
      <c r="K154" s="5" t="str">
        <f t="shared" si="12"/>
        <v>Medium</v>
      </c>
      <c r="L154" s="5" t="str">
        <f t="shared" si="13"/>
        <v>No</v>
      </c>
      <c r="M154" s="5" t="str">
        <f t="shared" si="14"/>
        <v>Attention Needed</v>
      </c>
      <c r="N154" s="3">
        <f>_xlfn.XLOOKUP(B154, Properties!A:A, Properties!D:D, FALSE)</f>
        <v>60793</v>
      </c>
    </row>
    <row r="155" spans="1:14" x14ac:dyDescent="0.3">
      <c r="A155">
        <v>79</v>
      </c>
      <c r="B155">
        <v>273</v>
      </c>
      <c r="C155">
        <v>4</v>
      </c>
      <c r="D155" s="3">
        <v>215685</v>
      </c>
      <c r="E155" t="s">
        <v>257</v>
      </c>
      <c r="F155" s="1" t="s">
        <v>289</v>
      </c>
      <c r="G155" t="str">
        <f>_xlfn.XLOOKUP(B155, Properties!A:A, Properties!B:B, FALSE)</f>
        <v>Belgrade</v>
      </c>
      <c r="H155" t="str">
        <f>_xlfn.XLOOKUP(C155, Agents!A:A, Agents!B:B, FALSE)</f>
        <v>Marko Jovic</v>
      </c>
      <c r="I155" t="str">
        <f t="shared" si="10"/>
        <v>2024-02</v>
      </c>
      <c r="J155" s="5" t="str">
        <f t="shared" si="11"/>
        <v>Luxury</v>
      </c>
      <c r="K155" s="5" t="str">
        <f t="shared" si="12"/>
        <v>Medium</v>
      </c>
      <c r="L155" s="5" t="str">
        <f t="shared" si="13"/>
        <v>No</v>
      </c>
      <c r="M155" s="5" t="str">
        <f t="shared" si="14"/>
        <v>Attention Needed</v>
      </c>
      <c r="N155" s="3">
        <f>_xlfn.XLOOKUP(B155, Properties!A:A, Properties!D:D, FALSE)</f>
        <v>60793</v>
      </c>
    </row>
    <row r="156" spans="1:14" x14ac:dyDescent="0.3">
      <c r="A156">
        <v>351</v>
      </c>
      <c r="B156">
        <v>53</v>
      </c>
      <c r="C156">
        <v>1</v>
      </c>
      <c r="D156" s="3">
        <v>215553</v>
      </c>
      <c r="E156" t="s">
        <v>259</v>
      </c>
      <c r="F156" s="1" t="s">
        <v>388</v>
      </c>
      <c r="G156" t="str">
        <f>_xlfn.XLOOKUP(B156, Properties!A:A, Properties!B:B, FALSE)</f>
        <v>Nis</v>
      </c>
      <c r="H156" t="str">
        <f>_xlfn.XLOOKUP(C156, Agents!A:A, Agents!B:B, FALSE)</f>
        <v>Ana Markovic</v>
      </c>
      <c r="I156" t="str">
        <f t="shared" si="10"/>
        <v>2024-10</v>
      </c>
      <c r="J156" s="5" t="str">
        <f t="shared" si="11"/>
        <v>Luxury</v>
      </c>
      <c r="K156" s="5" t="str">
        <f t="shared" si="12"/>
        <v>Medium</v>
      </c>
      <c r="L156" s="5" t="str">
        <f t="shared" si="13"/>
        <v>Yes</v>
      </c>
      <c r="M156" s="5" t="str">
        <f t="shared" si="14"/>
        <v>Ok</v>
      </c>
      <c r="N156" s="3">
        <f>_xlfn.XLOOKUP(B156, Properties!A:A, Properties!D:D, FALSE)</f>
        <v>61720</v>
      </c>
    </row>
    <row r="157" spans="1:14" x14ac:dyDescent="0.3">
      <c r="A157">
        <v>139</v>
      </c>
      <c r="B157">
        <v>220</v>
      </c>
      <c r="C157">
        <v>1</v>
      </c>
      <c r="D157" s="3">
        <v>214977</v>
      </c>
      <c r="E157" t="s">
        <v>257</v>
      </c>
      <c r="F157" s="1" t="s">
        <v>315</v>
      </c>
      <c r="G157" t="str">
        <f>_xlfn.XLOOKUP(B157, Properties!A:A, Properties!B:B, FALSE)</f>
        <v>Becej</v>
      </c>
      <c r="H157" t="str">
        <f>_xlfn.XLOOKUP(C157, Agents!A:A, Agents!B:B, FALSE)</f>
        <v>Ana Markovic</v>
      </c>
      <c r="I157" t="str">
        <f t="shared" si="10"/>
        <v>2024-05</v>
      </c>
      <c r="J157" s="5" t="str">
        <f t="shared" si="11"/>
        <v>Luxury</v>
      </c>
      <c r="K157" s="5" t="str">
        <f t="shared" si="12"/>
        <v>Medium</v>
      </c>
      <c r="L157" s="5" t="str">
        <f t="shared" si="13"/>
        <v>No</v>
      </c>
      <c r="M157" s="5" t="str">
        <f t="shared" si="14"/>
        <v>Attention Needed</v>
      </c>
      <c r="N157" s="3">
        <f>_xlfn.XLOOKUP(B157, Properties!A:A, Properties!D:D, FALSE)</f>
        <v>219945</v>
      </c>
    </row>
    <row r="158" spans="1:14" x14ac:dyDescent="0.3">
      <c r="A158">
        <v>9</v>
      </c>
      <c r="B158">
        <v>255</v>
      </c>
      <c r="C158">
        <v>5</v>
      </c>
      <c r="D158" s="3">
        <v>214717</v>
      </c>
      <c r="E158" t="s">
        <v>259</v>
      </c>
      <c r="F158" s="1" t="s">
        <v>41</v>
      </c>
      <c r="G158" t="str">
        <f>_xlfn.XLOOKUP(B158, Properties!A:A, Properties!B:B, FALSE)</f>
        <v>Subotica</v>
      </c>
      <c r="H158" t="str">
        <f>_xlfn.XLOOKUP(C158, Agents!A:A, Agents!B:B, FALSE)</f>
        <v>Mina Lukic</v>
      </c>
      <c r="I158" t="str">
        <f t="shared" si="10"/>
        <v>2024-04</v>
      </c>
      <c r="J158" s="5" t="str">
        <f t="shared" si="11"/>
        <v>Luxury</v>
      </c>
      <c r="K158" s="5" t="str">
        <f t="shared" si="12"/>
        <v>Medium</v>
      </c>
      <c r="L158" s="5" t="str">
        <f t="shared" si="13"/>
        <v>Yes</v>
      </c>
      <c r="M158" s="5" t="str">
        <f t="shared" si="14"/>
        <v>Ok</v>
      </c>
      <c r="N158" s="3">
        <f>_xlfn.XLOOKUP(B158, Properties!A:A, Properties!D:D, FALSE)</f>
        <v>230044</v>
      </c>
    </row>
    <row r="159" spans="1:14" x14ac:dyDescent="0.3">
      <c r="A159">
        <v>59</v>
      </c>
      <c r="B159">
        <v>148</v>
      </c>
      <c r="C159">
        <v>10</v>
      </c>
      <c r="D159" s="3">
        <v>214363</v>
      </c>
      <c r="E159" t="s">
        <v>256</v>
      </c>
      <c r="F159" s="1" t="s">
        <v>98</v>
      </c>
      <c r="G159" t="str">
        <f>_xlfn.XLOOKUP(B159, Properties!A:A, Properties!B:B, FALSE)</f>
        <v>Becej</v>
      </c>
      <c r="H159" t="str">
        <f>_xlfn.XLOOKUP(C159, Agents!A:A, Agents!B:B, FALSE)</f>
        <v>Marko Jovic</v>
      </c>
      <c r="I159" t="str">
        <f t="shared" si="10"/>
        <v>2024-02</v>
      </c>
      <c r="J159" s="5" t="str">
        <f t="shared" si="11"/>
        <v>Luxury</v>
      </c>
      <c r="K159" s="5" t="str">
        <f t="shared" si="12"/>
        <v>Medium</v>
      </c>
      <c r="L159" s="5" t="str">
        <f t="shared" si="13"/>
        <v>No</v>
      </c>
      <c r="M159" s="5" t="str">
        <f t="shared" si="14"/>
        <v>Attention Needed</v>
      </c>
      <c r="N159" s="3">
        <f>_xlfn.XLOOKUP(B159, Properties!A:A, Properties!D:D, FALSE)</f>
        <v>134766</v>
      </c>
    </row>
    <row r="160" spans="1:14" x14ac:dyDescent="0.3">
      <c r="A160">
        <v>88</v>
      </c>
      <c r="B160">
        <v>262</v>
      </c>
      <c r="C160">
        <v>4</v>
      </c>
      <c r="D160" s="3">
        <v>214077</v>
      </c>
      <c r="E160" t="s">
        <v>256</v>
      </c>
      <c r="F160" s="1" t="s">
        <v>71</v>
      </c>
      <c r="G160" t="str">
        <f>_xlfn.XLOOKUP(B160, Properties!A:A, Properties!B:B, FALSE)</f>
        <v>Becej</v>
      </c>
      <c r="H160" t="str">
        <f>_xlfn.XLOOKUP(C160, Agents!A:A, Agents!B:B, FALSE)</f>
        <v>Marko Jovic</v>
      </c>
      <c r="I160" t="str">
        <f t="shared" si="10"/>
        <v>2025-01</v>
      </c>
      <c r="J160" s="5" t="str">
        <f t="shared" si="11"/>
        <v>Luxury</v>
      </c>
      <c r="K160" s="5" t="str">
        <f t="shared" si="12"/>
        <v>Medium</v>
      </c>
      <c r="L160" s="5" t="str">
        <f t="shared" si="13"/>
        <v>No</v>
      </c>
      <c r="M160" s="5" t="str">
        <f t="shared" si="14"/>
        <v>Attention Needed</v>
      </c>
      <c r="N160" s="3">
        <f>_xlfn.XLOOKUP(B160, Properties!A:A, Properties!D:D, FALSE)</f>
        <v>149229</v>
      </c>
    </row>
    <row r="161" spans="1:14" x14ac:dyDescent="0.3">
      <c r="A161">
        <v>417</v>
      </c>
      <c r="B161">
        <v>106</v>
      </c>
      <c r="C161">
        <v>4</v>
      </c>
      <c r="D161" s="3">
        <v>213928</v>
      </c>
      <c r="E161" t="s">
        <v>259</v>
      </c>
      <c r="F161" s="1" t="s">
        <v>57</v>
      </c>
      <c r="G161" t="str">
        <f>_xlfn.XLOOKUP(B161, Properties!A:A, Properties!B:B, FALSE)</f>
        <v>Becej</v>
      </c>
      <c r="H161" t="str">
        <f>_xlfn.XLOOKUP(C161, Agents!A:A, Agents!B:B, FALSE)</f>
        <v>Marko Jovic</v>
      </c>
      <c r="I161" t="str">
        <f t="shared" si="10"/>
        <v>2024-09</v>
      </c>
      <c r="J161" s="5" t="str">
        <f t="shared" si="11"/>
        <v>Luxury</v>
      </c>
      <c r="K161" s="5" t="str">
        <f t="shared" si="12"/>
        <v>Medium</v>
      </c>
      <c r="L161" s="5" t="str">
        <f t="shared" si="13"/>
        <v>Yes</v>
      </c>
      <c r="M161" s="5" t="str">
        <f t="shared" si="14"/>
        <v>Ok</v>
      </c>
      <c r="N161" s="3">
        <f>_xlfn.XLOOKUP(B161, Properties!A:A, Properties!D:D, FALSE)</f>
        <v>59327</v>
      </c>
    </row>
    <row r="162" spans="1:14" x14ac:dyDescent="0.3">
      <c r="A162">
        <v>415</v>
      </c>
      <c r="B162">
        <v>61</v>
      </c>
      <c r="C162">
        <v>4</v>
      </c>
      <c r="D162" s="3">
        <v>213831</v>
      </c>
      <c r="E162" t="s">
        <v>259</v>
      </c>
      <c r="F162" s="1" t="s">
        <v>45</v>
      </c>
      <c r="G162" t="str">
        <f>_xlfn.XLOOKUP(B162, Properties!A:A, Properties!B:B, FALSE)</f>
        <v>Nis</v>
      </c>
      <c r="H162" t="str">
        <f>_xlfn.XLOOKUP(C162, Agents!A:A, Agents!B:B, FALSE)</f>
        <v>Marko Jovic</v>
      </c>
      <c r="I162" t="str">
        <f t="shared" si="10"/>
        <v>2025-03</v>
      </c>
      <c r="J162" s="5" t="str">
        <f t="shared" si="11"/>
        <v>Luxury</v>
      </c>
      <c r="K162" s="5" t="str">
        <f t="shared" si="12"/>
        <v>Medium</v>
      </c>
      <c r="L162" s="5" t="str">
        <f t="shared" si="13"/>
        <v>Yes</v>
      </c>
      <c r="M162" s="5" t="str">
        <f t="shared" si="14"/>
        <v>Ok</v>
      </c>
      <c r="N162" s="3">
        <f>_xlfn.XLOOKUP(B162, Properties!A:A, Properties!D:D, FALSE)</f>
        <v>93700</v>
      </c>
    </row>
    <row r="163" spans="1:14" x14ac:dyDescent="0.3">
      <c r="A163">
        <v>61</v>
      </c>
      <c r="B163">
        <v>247</v>
      </c>
      <c r="C163">
        <v>4</v>
      </c>
      <c r="D163" s="3">
        <v>213560</v>
      </c>
      <c r="E163" t="s">
        <v>259</v>
      </c>
      <c r="F163" s="1" t="s">
        <v>280</v>
      </c>
      <c r="G163" t="str">
        <f>_xlfn.XLOOKUP(B163, Properties!A:A, Properties!B:B, FALSE)</f>
        <v>Subotica</v>
      </c>
      <c r="H163" t="str">
        <f>_xlfn.XLOOKUP(C163, Agents!A:A, Agents!B:B, FALSE)</f>
        <v>Marko Jovic</v>
      </c>
      <c r="I163" t="str">
        <f t="shared" si="10"/>
        <v>2025-03</v>
      </c>
      <c r="J163" s="5" t="str">
        <f t="shared" si="11"/>
        <v>Luxury</v>
      </c>
      <c r="K163" s="5" t="str">
        <f t="shared" si="12"/>
        <v>Medium</v>
      </c>
      <c r="L163" s="5" t="str">
        <f t="shared" si="13"/>
        <v>Yes</v>
      </c>
      <c r="M163" s="5" t="str">
        <f t="shared" si="14"/>
        <v>Ok</v>
      </c>
      <c r="N163" s="3">
        <f>_xlfn.XLOOKUP(B163, Properties!A:A, Properties!D:D, FALSE)</f>
        <v>48719</v>
      </c>
    </row>
    <row r="164" spans="1:14" x14ac:dyDescent="0.3">
      <c r="A164">
        <v>236</v>
      </c>
      <c r="B164">
        <v>251</v>
      </c>
      <c r="C164">
        <v>6</v>
      </c>
      <c r="D164" s="3">
        <v>212873</v>
      </c>
      <c r="E164" t="s">
        <v>256</v>
      </c>
      <c r="F164" s="1" t="s">
        <v>356</v>
      </c>
      <c r="G164" t="str">
        <f>_xlfn.XLOOKUP(B164, Properties!A:A, Properties!B:B, FALSE)</f>
        <v>Subotica</v>
      </c>
      <c r="H164" t="str">
        <f>_xlfn.XLOOKUP(C164, Agents!A:A, Agents!B:B, FALSE)</f>
        <v>Marko Jovic</v>
      </c>
      <c r="I164" t="str">
        <f t="shared" si="10"/>
        <v>2024-10</v>
      </c>
      <c r="J164" s="5" t="str">
        <f t="shared" si="11"/>
        <v>Luxury</v>
      </c>
      <c r="K164" s="5" t="str">
        <f t="shared" si="12"/>
        <v>Medium</v>
      </c>
      <c r="L164" s="5" t="str">
        <f t="shared" si="13"/>
        <v>No</v>
      </c>
      <c r="M164" s="5" t="str">
        <f t="shared" si="14"/>
        <v>Attention Needed</v>
      </c>
      <c r="N164" s="3">
        <f>_xlfn.XLOOKUP(B164, Properties!A:A, Properties!D:D, FALSE)</f>
        <v>144755</v>
      </c>
    </row>
    <row r="165" spans="1:14" x14ac:dyDescent="0.3">
      <c r="A165">
        <v>468</v>
      </c>
      <c r="B165">
        <v>6</v>
      </c>
      <c r="C165">
        <v>3</v>
      </c>
      <c r="D165" s="3">
        <v>211773</v>
      </c>
      <c r="E165" t="s">
        <v>256</v>
      </c>
      <c r="F165" s="1" t="s">
        <v>177</v>
      </c>
      <c r="G165" t="str">
        <f>_xlfn.XLOOKUP(B165, Properties!A:A, Properties!B:B, FALSE)</f>
        <v>Nis</v>
      </c>
      <c r="H165" t="str">
        <f>_xlfn.XLOOKUP(C165, Agents!A:A, Agents!B:B, FALSE)</f>
        <v>Ivan Stankovic</v>
      </c>
      <c r="I165" t="str">
        <f t="shared" si="10"/>
        <v>2024-09</v>
      </c>
      <c r="J165" s="5" t="str">
        <f t="shared" si="11"/>
        <v>Luxury</v>
      </c>
      <c r="K165" s="5" t="str">
        <f t="shared" si="12"/>
        <v>Medium</v>
      </c>
      <c r="L165" s="5" t="str">
        <f t="shared" si="13"/>
        <v>No</v>
      </c>
      <c r="M165" s="5" t="str">
        <f t="shared" si="14"/>
        <v>Attention Needed</v>
      </c>
      <c r="N165" s="3">
        <f>_xlfn.XLOOKUP(B165, Properties!A:A, Properties!D:D, FALSE)</f>
        <v>87787</v>
      </c>
    </row>
    <row r="166" spans="1:14" x14ac:dyDescent="0.3">
      <c r="A166">
        <v>486</v>
      </c>
      <c r="B166">
        <v>210</v>
      </c>
      <c r="C166">
        <v>1</v>
      </c>
      <c r="D166" s="3">
        <v>211625</v>
      </c>
      <c r="E166" t="s">
        <v>259</v>
      </c>
      <c r="F166" s="1" t="s">
        <v>402</v>
      </c>
      <c r="G166" t="str">
        <f>_xlfn.XLOOKUP(B166, Properties!A:A, Properties!B:B, FALSE)</f>
        <v>Novi Sad</v>
      </c>
      <c r="H166" t="str">
        <f>_xlfn.XLOOKUP(C166, Agents!A:A, Agents!B:B, FALSE)</f>
        <v>Ana Markovic</v>
      </c>
      <c r="I166" t="str">
        <f t="shared" si="10"/>
        <v>2024-11</v>
      </c>
      <c r="J166" s="5" t="str">
        <f t="shared" si="11"/>
        <v>Luxury</v>
      </c>
      <c r="K166" s="5" t="str">
        <f t="shared" si="12"/>
        <v>Medium</v>
      </c>
      <c r="L166" s="5" t="str">
        <f t="shared" si="13"/>
        <v>Yes</v>
      </c>
      <c r="M166" s="5" t="str">
        <f t="shared" si="14"/>
        <v>Ok</v>
      </c>
      <c r="N166" s="3">
        <f>_xlfn.XLOOKUP(B166, Properties!A:A, Properties!D:D, FALSE)</f>
        <v>199319</v>
      </c>
    </row>
    <row r="167" spans="1:14" x14ac:dyDescent="0.3">
      <c r="A167">
        <v>340</v>
      </c>
      <c r="B167">
        <v>72</v>
      </c>
      <c r="C167">
        <v>2</v>
      </c>
      <c r="D167" s="3">
        <v>211329</v>
      </c>
      <c r="E167" t="s">
        <v>257</v>
      </c>
      <c r="F167" s="1" t="s">
        <v>70</v>
      </c>
      <c r="G167" t="str">
        <f>_xlfn.XLOOKUP(B167, Properties!A:A, Properties!B:B, FALSE)</f>
        <v>Novi Sad</v>
      </c>
      <c r="H167" t="str">
        <f>_xlfn.XLOOKUP(C167, Agents!A:A, Agents!B:B, FALSE)</f>
        <v>Jelena Petrovic</v>
      </c>
      <c r="I167" t="str">
        <f t="shared" si="10"/>
        <v>2024-01</v>
      </c>
      <c r="J167" s="5" t="str">
        <f t="shared" si="11"/>
        <v>Luxury</v>
      </c>
      <c r="K167" s="5" t="str">
        <f t="shared" si="12"/>
        <v>Medium</v>
      </c>
      <c r="L167" s="5" t="str">
        <f t="shared" si="13"/>
        <v>No</v>
      </c>
      <c r="M167" s="5" t="str">
        <f t="shared" si="14"/>
        <v>Attention Needed</v>
      </c>
      <c r="N167" s="3">
        <f>_xlfn.XLOOKUP(B167, Properties!A:A, Properties!D:D, FALSE)</f>
        <v>136539</v>
      </c>
    </row>
    <row r="168" spans="1:14" x14ac:dyDescent="0.3">
      <c r="A168">
        <v>277</v>
      </c>
      <c r="B168">
        <v>38</v>
      </c>
      <c r="C168">
        <v>1</v>
      </c>
      <c r="D168" s="3">
        <v>210632</v>
      </c>
      <c r="E168" t="s">
        <v>256</v>
      </c>
      <c r="F168" s="1" t="s">
        <v>261</v>
      </c>
      <c r="G168" t="str">
        <f>_xlfn.XLOOKUP(B168, Properties!A:A, Properties!B:B, FALSE)</f>
        <v>Subotica</v>
      </c>
      <c r="H168" t="str">
        <f>_xlfn.XLOOKUP(C168, Agents!A:A, Agents!B:B, FALSE)</f>
        <v>Ana Markovic</v>
      </c>
      <c r="I168" t="str">
        <f t="shared" si="10"/>
        <v>2024-12</v>
      </c>
      <c r="J168" s="5" t="str">
        <f t="shared" si="11"/>
        <v>Luxury</v>
      </c>
      <c r="K168" s="5" t="str">
        <f t="shared" si="12"/>
        <v>Medium</v>
      </c>
      <c r="L168" s="5" t="str">
        <f t="shared" si="13"/>
        <v>No</v>
      </c>
      <c r="M168" s="5" t="str">
        <f t="shared" si="14"/>
        <v>Attention Needed</v>
      </c>
      <c r="N168" s="3">
        <f>_xlfn.XLOOKUP(B168, Properties!A:A, Properties!D:D, FALSE)</f>
        <v>106939</v>
      </c>
    </row>
    <row r="169" spans="1:14" x14ac:dyDescent="0.3">
      <c r="A169">
        <v>214</v>
      </c>
      <c r="B169">
        <v>50</v>
      </c>
      <c r="C169">
        <v>7</v>
      </c>
      <c r="D169" s="3">
        <v>207778</v>
      </c>
      <c r="E169" t="s">
        <v>256</v>
      </c>
      <c r="F169" s="1" t="s">
        <v>139</v>
      </c>
      <c r="G169" t="str">
        <f>_xlfn.XLOOKUP(B169, Properties!A:A, Properties!B:B, FALSE)</f>
        <v>Nis</v>
      </c>
      <c r="H169" t="str">
        <f>_xlfn.XLOOKUP(C169, Agents!A:A, Agents!B:B, FALSE)</f>
        <v>Ana Markovic</v>
      </c>
      <c r="I169" t="str">
        <f t="shared" si="10"/>
        <v>2024-10</v>
      </c>
      <c r="J169" s="5" t="str">
        <f t="shared" si="11"/>
        <v>Luxury</v>
      </c>
      <c r="K169" s="5" t="str">
        <f t="shared" si="12"/>
        <v>Medium</v>
      </c>
      <c r="L169" s="5" t="str">
        <f t="shared" si="13"/>
        <v>No</v>
      </c>
      <c r="M169" s="5" t="str">
        <f t="shared" si="14"/>
        <v>Attention Needed</v>
      </c>
      <c r="N169" s="3">
        <f>_xlfn.XLOOKUP(B169, Properties!A:A, Properties!D:D, FALSE)</f>
        <v>85521</v>
      </c>
    </row>
    <row r="170" spans="1:14" x14ac:dyDescent="0.3">
      <c r="A170">
        <v>154</v>
      </c>
      <c r="B170">
        <v>205</v>
      </c>
      <c r="C170">
        <v>8</v>
      </c>
      <c r="D170" s="3">
        <v>207752</v>
      </c>
      <c r="E170" t="s">
        <v>256</v>
      </c>
      <c r="F170" s="1" t="s">
        <v>320</v>
      </c>
      <c r="G170" t="str">
        <f>_xlfn.XLOOKUP(B170, Properties!A:A, Properties!B:B, FALSE)</f>
        <v>Novi Sad</v>
      </c>
      <c r="H170" t="str">
        <f>_xlfn.XLOOKUP(C170, Agents!A:A, Agents!B:B, FALSE)</f>
        <v>Mina Lukic</v>
      </c>
      <c r="I170" t="str">
        <f t="shared" si="10"/>
        <v>2025-05</v>
      </c>
      <c r="J170" s="5" t="str">
        <f t="shared" si="11"/>
        <v>Luxury</v>
      </c>
      <c r="K170" s="5" t="str">
        <f t="shared" si="12"/>
        <v>Medium</v>
      </c>
      <c r="L170" s="5" t="str">
        <f t="shared" si="13"/>
        <v>No</v>
      </c>
      <c r="M170" s="5" t="str">
        <f t="shared" si="14"/>
        <v>Attention Needed</v>
      </c>
      <c r="N170" s="3">
        <f>_xlfn.XLOOKUP(B170, Properties!A:A, Properties!D:D, FALSE)</f>
        <v>239146</v>
      </c>
    </row>
    <row r="171" spans="1:14" x14ac:dyDescent="0.3">
      <c r="A171">
        <v>16</v>
      </c>
      <c r="B171">
        <v>247</v>
      </c>
      <c r="C171">
        <v>5</v>
      </c>
      <c r="D171" s="3">
        <v>207584</v>
      </c>
      <c r="E171" t="s">
        <v>257</v>
      </c>
      <c r="F171" s="1" t="s">
        <v>264</v>
      </c>
      <c r="G171" t="str">
        <f>_xlfn.XLOOKUP(B171, Properties!A:A, Properties!B:B, FALSE)</f>
        <v>Subotica</v>
      </c>
      <c r="H171" t="str">
        <f>_xlfn.XLOOKUP(C171, Agents!A:A, Agents!B:B, FALSE)</f>
        <v>Mina Lukic</v>
      </c>
      <c r="I171" t="str">
        <f t="shared" si="10"/>
        <v>2025-02</v>
      </c>
      <c r="J171" s="5" t="str">
        <f t="shared" si="11"/>
        <v>Luxury</v>
      </c>
      <c r="K171" s="5" t="str">
        <f t="shared" si="12"/>
        <v>Medium</v>
      </c>
      <c r="L171" s="5" t="str">
        <f t="shared" si="13"/>
        <v>No</v>
      </c>
      <c r="M171" s="5" t="str">
        <f t="shared" si="14"/>
        <v>Attention Needed</v>
      </c>
      <c r="N171" s="3">
        <f>_xlfn.XLOOKUP(B171, Properties!A:A, Properties!D:D, FALSE)</f>
        <v>48719</v>
      </c>
    </row>
    <row r="172" spans="1:14" x14ac:dyDescent="0.3">
      <c r="A172">
        <v>146</v>
      </c>
      <c r="B172">
        <v>23</v>
      </c>
      <c r="C172">
        <v>6</v>
      </c>
      <c r="D172" s="3">
        <v>207496</v>
      </c>
      <c r="E172" t="s">
        <v>257</v>
      </c>
      <c r="F172" s="1" t="s">
        <v>302</v>
      </c>
      <c r="G172" t="str">
        <f>_xlfn.XLOOKUP(B172, Properties!A:A, Properties!B:B, FALSE)</f>
        <v>Subotica</v>
      </c>
      <c r="H172" t="str">
        <f>_xlfn.XLOOKUP(C172, Agents!A:A, Agents!B:B, FALSE)</f>
        <v>Marko Jovic</v>
      </c>
      <c r="I172" t="str">
        <f t="shared" si="10"/>
        <v>2025-02</v>
      </c>
      <c r="J172" s="5" t="str">
        <f t="shared" si="11"/>
        <v>Luxury</v>
      </c>
      <c r="K172" s="5" t="str">
        <f t="shared" si="12"/>
        <v>Medium</v>
      </c>
      <c r="L172" s="5" t="str">
        <f t="shared" si="13"/>
        <v>No</v>
      </c>
      <c r="M172" s="5" t="str">
        <f t="shared" si="14"/>
        <v>Attention Needed</v>
      </c>
      <c r="N172" s="3">
        <f>_xlfn.XLOOKUP(B172, Properties!A:A, Properties!D:D, FALSE)</f>
        <v>209467</v>
      </c>
    </row>
    <row r="173" spans="1:14" x14ac:dyDescent="0.3">
      <c r="A173">
        <v>190</v>
      </c>
      <c r="B173">
        <v>298</v>
      </c>
      <c r="C173">
        <v>3</v>
      </c>
      <c r="D173" s="3">
        <v>207009</v>
      </c>
      <c r="E173" t="s">
        <v>259</v>
      </c>
      <c r="F173" s="1" t="s">
        <v>119</v>
      </c>
      <c r="G173" t="str">
        <f>_xlfn.XLOOKUP(B173, Properties!A:A, Properties!B:B, FALSE)</f>
        <v>Belgrade</v>
      </c>
      <c r="H173" t="str">
        <f>_xlfn.XLOOKUP(C173, Agents!A:A, Agents!B:B, FALSE)</f>
        <v>Ivan Stankovic</v>
      </c>
      <c r="I173" t="str">
        <f t="shared" si="10"/>
        <v>2025-03</v>
      </c>
      <c r="J173" s="5" t="str">
        <f t="shared" si="11"/>
        <v>Luxury</v>
      </c>
      <c r="K173" s="5" t="str">
        <f t="shared" si="12"/>
        <v>Medium</v>
      </c>
      <c r="L173" s="5" t="str">
        <f t="shared" si="13"/>
        <v>Yes</v>
      </c>
      <c r="M173" s="5" t="str">
        <f t="shared" si="14"/>
        <v>Ok</v>
      </c>
      <c r="N173" s="3">
        <f>_xlfn.XLOOKUP(B173, Properties!A:A, Properties!D:D, FALSE)</f>
        <v>55806</v>
      </c>
    </row>
    <row r="174" spans="1:14" x14ac:dyDescent="0.3">
      <c r="A174">
        <v>316</v>
      </c>
      <c r="B174">
        <v>292</v>
      </c>
      <c r="C174">
        <v>4</v>
      </c>
      <c r="D174" s="3">
        <v>206980</v>
      </c>
      <c r="E174" t="s">
        <v>256</v>
      </c>
      <c r="F174" s="1" t="s">
        <v>170</v>
      </c>
      <c r="G174" t="str">
        <f>_xlfn.XLOOKUP(B174, Properties!A:A, Properties!B:B, FALSE)</f>
        <v>Becej</v>
      </c>
      <c r="H174" t="str">
        <f>_xlfn.XLOOKUP(C174, Agents!A:A, Agents!B:B, FALSE)</f>
        <v>Marko Jovic</v>
      </c>
      <c r="I174" t="str">
        <f t="shared" si="10"/>
        <v>2024-05</v>
      </c>
      <c r="J174" s="5" t="str">
        <f t="shared" si="11"/>
        <v>Luxury</v>
      </c>
      <c r="K174" s="5" t="str">
        <f t="shared" si="12"/>
        <v>Medium</v>
      </c>
      <c r="L174" s="5" t="str">
        <f t="shared" si="13"/>
        <v>No</v>
      </c>
      <c r="M174" s="5" t="str">
        <f t="shared" si="14"/>
        <v>Attention Needed</v>
      </c>
      <c r="N174" s="3">
        <f>_xlfn.XLOOKUP(B174, Properties!A:A, Properties!D:D, FALSE)</f>
        <v>49615</v>
      </c>
    </row>
    <row r="175" spans="1:14" x14ac:dyDescent="0.3">
      <c r="A175">
        <v>255</v>
      </c>
      <c r="B175">
        <v>132</v>
      </c>
      <c r="C175">
        <v>3</v>
      </c>
      <c r="D175" s="3">
        <v>206743</v>
      </c>
      <c r="E175" t="s">
        <v>259</v>
      </c>
      <c r="F175" s="1" t="s">
        <v>363</v>
      </c>
      <c r="G175" t="str">
        <f>_xlfn.XLOOKUP(B175, Properties!A:A, Properties!B:B, FALSE)</f>
        <v>Belgrade</v>
      </c>
      <c r="H175" t="str">
        <f>_xlfn.XLOOKUP(C175, Agents!A:A, Agents!B:B, FALSE)</f>
        <v>Ivan Stankovic</v>
      </c>
      <c r="I175" t="str">
        <f t="shared" si="10"/>
        <v>2025-02</v>
      </c>
      <c r="J175" s="5" t="str">
        <f t="shared" si="11"/>
        <v>Luxury</v>
      </c>
      <c r="K175" s="5" t="str">
        <f t="shared" si="12"/>
        <v>Medium</v>
      </c>
      <c r="L175" s="5" t="str">
        <f t="shared" si="13"/>
        <v>Yes</v>
      </c>
      <c r="M175" s="5" t="str">
        <f t="shared" si="14"/>
        <v>Ok</v>
      </c>
      <c r="N175" s="3">
        <f>_xlfn.XLOOKUP(B175, Properties!A:A, Properties!D:D, FALSE)</f>
        <v>193356</v>
      </c>
    </row>
    <row r="176" spans="1:14" x14ac:dyDescent="0.3">
      <c r="A176">
        <v>130</v>
      </c>
      <c r="B176">
        <v>164</v>
      </c>
      <c r="C176">
        <v>2</v>
      </c>
      <c r="D176" s="3">
        <v>205788</v>
      </c>
      <c r="E176" t="s">
        <v>257</v>
      </c>
      <c r="F176" s="1" t="s">
        <v>312</v>
      </c>
      <c r="G176" t="str">
        <f>_xlfn.XLOOKUP(B176, Properties!A:A, Properties!B:B, FALSE)</f>
        <v>Subotica</v>
      </c>
      <c r="H176" t="str">
        <f>_xlfn.XLOOKUP(C176, Agents!A:A, Agents!B:B, FALSE)</f>
        <v>Jelena Petrovic</v>
      </c>
      <c r="I176" t="str">
        <f t="shared" si="10"/>
        <v>2025-02</v>
      </c>
      <c r="J176" s="5" t="str">
        <f t="shared" si="11"/>
        <v>Luxury</v>
      </c>
      <c r="K176" s="5" t="str">
        <f t="shared" si="12"/>
        <v>Medium</v>
      </c>
      <c r="L176" s="5" t="str">
        <f t="shared" si="13"/>
        <v>No</v>
      </c>
      <c r="M176" s="5" t="str">
        <f t="shared" si="14"/>
        <v>Attention Needed</v>
      </c>
      <c r="N176" s="3">
        <f>_xlfn.XLOOKUP(B176, Properties!A:A, Properties!D:D, FALSE)</f>
        <v>138992</v>
      </c>
    </row>
    <row r="177" spans="1:14" x14ac:dyDescent="0.3">
      <c r="A177">
        <v>470</v>
      </c>
      <c r="B177">
        <v>138</v>
      </c>
      <c r="C177">
        <v>2</v>
      </c>
      <c r="D177" s="3">
        <v>205642</v>
      </c>
      <c r="E177" t="s">
        <v>259</v>
      </c>
      <c r="F177" s="1" t="s">
        <v>96</v>
      </c>
      <c r="G177" t="str">
        <f>_xlfn.XLOOKUP(B177, Properties!A:A, Properties!B:B, FALSE)</f>
        <v>Belgrade</v>
      </c>
      <c r="H177" t="str">
        <f>_xlfn.XLOOKUP(C177, Agents!A:A, Agents!B:B, FALSE)</f>
        <v>Jelena Petrovic</v>
      </c>
      <c r="I177" t="str">
        <f t="shared" si="10"/>
        <v>2025-02</v>
      </c>
      <c r="J177" s="5" t="str">
        <f t="shared" si="11"/>
        <v>Luxury</v>
      </c>
      <c r="K177" s="5" t="str">
        <f t="shared" si="12"/>
        <v>Medium</v>
      </c>
      <c r="L177" s="5" t="str">
        <f t="shared" si="13"/>
        <v>Yes</v>
      </c>
      <c r="M177" s="5" t="str">
        <f t="shared" si="14"/>
        <v>Ok</v>
      </c>
      <c r="N177" s="3">
        <f>_xlfn.XLOOKUP(B177, Properties!A:A, Properties!D:D, FALSE)</f>
        <v>105212</v>
      </c>
    </row>
    <row r="178" spans="1:14" x14ac:dyDescent="0.3">
      <c r="A178">
        <v>104</v>
      </c>
      <c r="B178">
        <v>174</v>
      </c>
      <c r="C178">
        <v>10</v>
      </c>
      <c r="D178" s="3">
        <v>205452</v>
      </c>
      <c r="E178" t="s">
        <v>259</v>
      </c>
      <c r="F178" s="1" t="s">
        <v>35</v>
      </c>
      <c r="G178" t="str">
        <f>_xlfn.XLOOKUP(B178, Properties!A:A, Properties!B:B, FALSE)</f>
        <v>Nis</v>
      </c>
      <c r="H178" t="str">
        <f>_xlfn.XLOOKUP(C178, Agents!A:A, Agents!B:B, FALSE)</f>
        <v>Marko Jovic</v>
      </c>
      <c r="I178" t="str">
        <f t="shared" si="10"/>
        <v>2024-02</v>
      </c>
      <c r="J178" s="5" t="str">
        <f t="shared" si="11"/>
        <v>Luxury</v>
      </c>
      <c r="K178" s="5" t="str">
        <f t="shared" si="12"/>
        <v>Medium</v>
      </c>
      <c r="L178" s="5" t="str">
        <f t="shared" si="13"/>
        <v>Yes</v>
      </c>
      <c r="M178" s="5" t="str">
        <f t="shared" si="14"/>
        <v>Ok</v>
      </c>
      <c r="N178" s="3">
        <f>_xlfn.XLOOKUP(B178, Properties!A:A, Properties!D:D, FALSE)</f>
        <v>52006</v>
      </c>
    </row>
    <row r="179" spans="1:14" x14ac:dyDescent="0.3">
      <c r="A179">
        <v>106</v>
      </c>
      <c r="B179">
        <v>130</v>
      </c>
      <c r="C179">
        <v>10</v>
      </c>
      <c r="D179" s="3">
        <v>204777</v>
      </c>
      <c r="E179" t="s">
        <v>259</v>
      </c>
      <c r="F179" s="1" t="s">
        <v>164</v>
      </c>
      <c r="G179" t="str">
        <f>_xlfn.XLOOKUP(B179, Properties!A:A, Properties!B:B, FALSE)</f>
        <v>Subotica</v>
      </c>
      <c r="H179" t="str">
        <f>_xlfn.XLOOKUP(C179, Agents!A:A, Agents!B:B, FALSE)</f>
        <v>Marko Jovic</v>
      </c>
      <c r="I179" t="str">
        <f t="shared" si="10"/>
        <v>2024-02</v>
      </c>
      <c r="J179" s="5" t="str">
        <f t="shared" si="11"/>
        <v>Luxury</v>
      </c>
      <c r="K179" s="5" t="str">
        <f t="shared" si="12"/>
        <v>Medium</v>
      </c>
      <c r="L179" s="5" t="str">
        <f t="shared" si="13"/>
        <v>Yes</v>
      </c>
      <c r="M179" s="5" t="str">
        <f t="shared" si="14"/>
        <v>Ok</v>
      </c>
      <c r="N179" s="3">
        <f>_xlfn.XLOOKUP(B179, Properties!A:A, Properties!D:D, FALSE)</f>
        <v>215803</v>
      </c>
    </row>
    <row r="180" spans="1:14" x14ac:dyDescent="0.3">
      <c r="A180">
        <v>86</v>
      </c>
      <c r="B180">
        <v>159</v>
      </c>
      <c r="C180">
        <v>6</v>
      </c>
      <c r="D180" s="3">
        <v>204623</v>
      </c>
      <c r="E180" t="s">
        <v>259</v>
      </c>
      <c r="F180" s="1" t="s">
        <v>145</v>
      </c>
      <c r="G180" t="str">
        <f>_xlfn.XLOOKUP(B180, Properties!A:A, Properties!B:B, FALSE)</f>
        <v>Subotica</v>
      </c>
      <c r="H180" t="str">
        <f>_xlfn.XLOOKUP(C180, Agents!A:A, Agents!B:B, FALSE)</f>
        <v>Marko Jovic</v>
      </c>
      <c r="I180" t="str">
        <f t="shared" si="10"/>
        <v>2025-02</v>
      </c>
      <c r="J180" s="5" t="str">
        <f t="shared" si="11"/>
        <v>Luxury</v>
      </c>
      <c r="K180" s="5" t="str">
        <f t="shared" si="12"/>
        <v>Medium</v>
      </c>
      <c r="L180" s="5" t="str">
        <f t="shared" si="13"/>
        <v>Yes</v>
      </c>
      <c r="M180" s="5" t="str">
        <f t="shared" si="14"/>
        <v>Ok</v>
      </c>
      <c r="N180" s="3">
        <f>_xlfn.XLOOKUP(B180, Properties!A:A, Properties!D:D, FALSE)</f>
        <v>50311</v>
      </c>
    </row>
    <row r="181" spans="1:14" x14ac:dyDescent="0.3">
      <c r="A181">
        <v>145</v>
      </c>
      <c r="B181">
        <v>124</v>
      </c>
      <c r="C181">
        <v>2</v>
      </c>
      <c r="D181" s="3">
        <v>204335</v>
      </c>
      <c r="E181" t="s">
        <v>257</v>
      </c>
      <c r="F181" s="1" t="s">
        <v>140</v>
      </c>
      <c r="G181" t="str">
        <f>_xlfn.XLOOKUP(B181, Properties!A:A, Properties!B:B, FALSE)</f>
        <v>Nis</v>
      </c>
      <c r="H181" t="str">
        <f>_xlfn.XLOOKUP(C181, Agents!A:A, Agents!B:B, FALSE)</f>
        <v>Jelena Petrovic</v>
      </c>
      <c r="I181" t="str">
        <f t="shared" si="10"/>
        <v>2024-03</v>
      </c>
      <c r="J181" s="5" t="str">
        <f t="shared" si="11"/>
        <v>Luxury</v>
      </c>
      <c r="K181" s="5" t="str">
        <f t="shared" si="12"/>
        <v>Medium</v>
      </c>
      <c r="L181" s="5" t="str">
        <f t="shared" si="13"/>
        <v>No</v>
      </c>
      <c r="M181" s="5" t="str">
        <f t="shared" si="14"/>
        <v>Attention Needed</v>
      </c>
      <c r="N181" s="3">
        <f>_xlfn.XLOOKUP(B181, Properties!A:A, Properties!D:D, FALSE)</f>
        <v>37235</v>
      </c>
    </row>
    <row r="182" spans="1:14" x14ac:dyDescent="0.3">
      <c r="A182">
        <v>339</v>
      </c>
      <c r="B182">
        <v>124</v>
      </c>
      <c r="C182">
        <v>10</v>
      </c>
      <c r="D182" s="3">
        <v>203921</v>
      </c>
      <c r="E182" t="s">
        <v>256</v>
      </c>
      <c r="F182" s="1" t="s">
        <v>294</v>
      </c>
      <c r="G182" t="str">
        <f>_xlfn.XLOOKUP(B182, Properties!A:A, Properties!B:B, FALSE)</f>
        <v>Nis</v>
      </c>
      <c r="H182" t="str">
        <f>_xlfn.XLOOKUP(C182, Agents!A:A, Agents!B:B, FALSE)</f>
        <v>Marko Jovic</v>
      </c>
      <c r="I182" t="str">
        <f t="shared" si="10"/>
        <v>2024-07</v>
      </c>
      <c r="J182" s="5" t="str">
        <f t="shared" si="11"/>
        <v>Luxury</v>
      </c>
      <c r="K182" s="5" t="str">
        <f t="shared" si="12"/>
        <v>Medium</v>
      </c>
      <c r="L182" s="5" t="str">
        <f t="shared" si="13"/>
        <v>No</v>
      </c>
      <c r="M182" s="5" t="str">
        <f t="shared" si="14"/>
        <v>Attention Needed</v>
      </c>
      <c r="N182" s="3">
        <f>_xlfn.XLOOKUP(B182, Properties!A:A, Properties!D:D, FALSE)</f>
        <v>37235</v>
      </c>
    </row>
    <row r="183" spans="1:14" x14ac:dyDescent="0.3">
      <c r="A183">
        <v>302</v>
      </c>
      <c r="B183">
        <v>125</v>
      </c>
      <c r="C183">
        <v>5</v>
      </c>
      <c r="D183" s="3">
        <v>203152</v>
      </c>
      <c r="E183" t="s">
        <v>259</v>
      </c>
      <c r="F183" s="1" t="s">
        <v>175</v>
      </c>
      <c r="G183" t="str">
        <f>_xlfn.XLOOKUP(B183, Properties!A:A, Properties!B:B, FALSE)</f>
        <v>Subotica</v>
      </c>
      <c r="H183" t="str">
        <f>_xlfn.XLOOKUP(C183, Agents!A:A, Agents!B:B, FALSE)</f>
        <v>Mina Lukic</v>
      </c>
      <c r="I183" t="str">
        <f t="shared" si="10"/>
        <v>2024-11</v>
      </c>
      <c r="J183" s="5" t="str">
        <f t="shared" si="11"/>
        <v>Luxury</v>
      </c>
      <c r="K183" s="5" t="str">
        <f t="shared" si="12"/>
        <v>Medium</v>
      </c>
      <c r="L183" s="5" t="str">
        <f t="shared" si="13"/>
        <v>Yes</v>
      </c>
      <c r="M183" s="5" t="str">
        <f t="shared" si="14"/>
        <v>Ok</v>
      </c>
      <c r="N183" s="3">
        <f>_xlfn.XLOOKUP(B183, Properties!A:A, Properties!D:D, FALSE)</f>
        <v>182198</v>
      </c>
    </row>
    <row r="184" spans="1:14" x14ac:dyDescent="0.3">
      <c r="A184">
        <v>260</v>
      </c>
      <c r="B184">
        <v>121</v>
      </c>
      <c r="C184">
        <v>8</v>
      </c>
      <c r="D184" s="3">
        <v>202818</v>
      </c>
      <c r="E184" t="s">
        <v>256</v>
      </c>
      <c r="F184" s="1" t="s">
        <v>364</v>
      </c>
      <c r="G184" t="str">
        <f>_xlfn.XLOOKUP(B184, Properties!A:A, Properties!B:B, FALSE)</f>
        <v>Novi Sad</v>
      </c>
      <c r="H184" t="str">
        <f>_xlfn.XLOOKUP(C184, Agents!A:A, Agents!B:B, FALSE)</f>
        <v>Mina Lukic</v>
      </c>
      <c r="I184" t="str">
        <f t="shared" si="10"/>
        <v>2024-06</v>
      </c>
      <c r="J184" s="5" t="str">
        <f t="shared" si="11"/>
        <v>Luxury</v>
      </c>
      <c r="K184" s="5" t="str">
        <f t="shared" si="12"/>
        <v>Medium</v>
      </c>
      <c r="L184" s="5" t="str">
        <f t="shared" si="13"/>
        <v>No</v>
      </c>
      <c r="M184" s="5" t="str">
        <f t="shared" si="14"/>
        <v>Attention Needed</v>
      </c>
      <c r="N184" s="3">
        <f>_xlfn.XLOOKUP(B184, Properties!A:A, Properties!D:D, FALSE)</f>
        <v>116051</v>
      </c>
    </row>
    <row r="185" spans="1:14" x14ac:dyDescent="0.3">
      <c r="A185">
        <v>109</v>
      </c>
      <c r="B185">
        <v>287</v>
      </c>
      <c r="C185">
        <v>7</v>
      </c>
      <c r="D185" s="3">
        <v>202216</v>
      </c>
      <c r="E185" t="s">
        <v>257</v>
      </c>
      <c r="F185" s="1" t="s">
        <v>302</v>
      </c>
      <c r="G185" t="str">
        <f>_xlfn.XLOOKUP(B185, Properties!A:A, Properties!B:B, FALSE)</f>
        <v>Becej</v>
      </c>
      <c r="H185" t="str">
        <f>_xlfn.XLOOKUP(C185, Agents!A:A, Agents!B:B, FALSE)</f>
        <v>Ana Markovic</v>
      </c>
      <c r="I185" t="str">
        <f t="shared" si="10"/>
        <v>2025-02</v>
      </c>
      <c r="J185" s="5" t="str">
        <f t="shared" si="11"/>
        <v>Luxury</v>
      </c>
      <c r="K185" s="5" t="str">
        <f t="shared" si="12"/>
        <v>Medium</v>
      </c>
      <c r="L185" s="5" t="str">
        <f t="shared" si="13"/>
        <v>No</v>
      </c>
      <c r="M185" s="5" t="str">
        <f t="shared" si="14"/>
        <v>Attention Needed</v>
      </c>
      <c r="N185" s="3">
        <f>_xlfn.XLOOKUP(B185, Properties!A:A, Properties!D:D, FALSE)</f>
        <v>131208</v>
      </c>
    </row>
    <row r="186" spans="1:14" x14ac:dyDescent="0.3">
      <c r="A186">
        <v>22</v>
      </c>
      <c r="B186">
        <v>13</v>
      </c>
      <c r="C186">
        <v>10</v>
      </c>
      <c r="D186" s="3">
        <v>201969</v>
      </c>
      <c r="E186" t="s">
        <v>257</v>
      </c>
      <c r="F186" s="1" t="s">
        <v>266</v>
      </c>
      <c r="G186" t="str">
        <f>_xlfn.XLOOKUP(B186, Properties!A:A, Properties!B:B, FALSE)</f>
        <v>Nis</v>
      </c>
      <c r="H186" t="str">
        <f>_xlfn.XLOOKUP(C186, Agents!A:A, Agents!B:B, FALSE)</f>
        <v>Marko Jovic</v>
      </c>
      <c r="I186" t="str">
        <f t="shared" si="10"/>
        <v>2025-04</v>
      </c>
      <c r="J186" s="5" t="str">
        <f t="shared" si="11"/>
        <v>Luxury</v>
      </c>
      <c r="K186" s="5" t="str">
        <f t="shared" si="12"/>
        <v>Medium</v>
      </c>
      <c r="L186" s="5" t="str">
        <f t="shared" si="13"/>
        <v>No</v>
      </c>
      <c r="M186" s="5" t="str">
        <f t="shared" si="14"/>
        <v>Attention Needed</v>
      </c>
      <c r="N186" s="3">
        <f>_xlfn.XLOOKUP(B186, Properties!A:A, Properties!D:D, FALSE)</f>
        <v>129230</v>
      </c>
    </row>
    <row r="187" spans="1:14" x14ac:dyDescent="0.3">
      <c r="A187">
        <v>257</v>
      </c>
      <c r="B187">
        <v>208</v>
      </c>
      <c r="C187">
        <v>7</v>
      </c>
      <c r="D187" s="3">
        <v>201928</v>
      </c>
      <c r="E187" t="s">
        <v>257</v>
      </c>
      <c r="F187" s="1" t="s">
        <v>329</v>
      </c>
      <c r="G187" t="str">
        <f>_xlfn.XLOOKUP(B187, Properties!A:A, Properties!B:B, FALSE)</f>
        <v>Novi Sad</v>
      </c>
      <c r="H187" t="str">
        <f>_xlfn.XLOOKUP(C187, Agents!A:A, Agents!B:B, FALSE)</f>
        <v>Ana Markovic</v>
      </c>
      <c r="I187" t="str">
        <f t="shared" si="10"/>
        <v>2024-02</v>
      </c>
      <c r="J187" s="5" t="str">
        <f t="shared" si="11"/>
        <v>Luxury</v>
      </c>
      <c r="K187" s="5" t="str">
        <f t="shared" si="12"/>
        <v>Medium</v>
      </c>
      <c r="L187" s="5" t="str">
        <f t="shared" si="13"/>
        <v>No</v>
      </c>
      <c r="M187" s="5" t="str">
        <f t="shared" si="14"/>
        <v>Attention Needed</v>
      </c>
      <c r="N187" s="3">
        <f>_xlfn.XLOOKUP(B187, Properties!A:A, Properties!D:D, FALSE)</f>
        <v>93270</v>
      </c>
    </row>
    <row r="188" spans="1:14" x14ac:dyDescent="0.3">
      <c r="A188">
        <v>426</v>
      </c>
      <c r="B188">
        <v>189</v>
      </c>
      <c r="C188">
        <v>8</v>
      </c>
      <c r="D188" s="3">
        <v>201593</v>
      </c>
      <c r="E188" t="s">
        <v>256</v>
      </c>
      <c r="F188" s="1" t="s">
        <v>189</v>
      </c>
      <c r="G188" t="str">
        <f>_xlfn.XLOOKUP(B188, Properties!A:A, Properties!B:B, FALSE)</f>
        <v>Nis</v>
      </c>
      <c r="H188" t="str">
        <f>_xlfn.XLOOKUP(C188, Agents!A:A, Agents!B:B, FALSE)</f>
        <v>Mina Lukic</v>
      </c>
      <c r="I188" t="str">
        <f t="shared" si="10"/>
        <v>2024-10</v>
      </c>
      <c r="J188" s="5" t="str">
        <f t="shared" si="11"/>
        <v>Luxury</v>
      </c>
      <c r="K188" s="5" t="str">
        <f t="shared" si="12"/>
        <v>Medium</v>
      </c>
      <c r="L188" s="5" t="str">
        <f t="shared" si="13"/>
        <v>No</v>
      </c>
      <c r="M188" s="5" t="str">
        <f t="shared" si="14"/>
        <v>Attention Needed</v>
      </c>
      <c r="N188" s="3">
        <f>_xlfn.XLOOKUP(B188, Properties!A:A, Properties!D:D, FALSE)</f>
        <v>111777</v>
      </c>
    </row>
    <row r="189" spans="1:14" x14ac:dyDescent="0.3">
      <c r="A189">
        <v>463</v>
      </c>
      <c r="B189">
        <v>105</v>
      </c>
      <c r="C189">
        <v>3</v>
      </c>
      <c r="D189" s="3">
        <v>201311</v>
      </c>
      <c r="E189" t="s">
        <v>257</v>
      </c>
      <c r="F189" s="1" t="s">
        <v>414</v>
      </c>
      <c r="G189" t="str">
        <f>_xlfn.XLOOKUP(B189, Properties!A:A, Properties!B:B, FALSE)</f>
        <v>Novi Sad</v>
      </c>
      <c r="H189" t="str">
        <f>_xlfn.XLOOKUP(C189, Agents!A:A, Agents!B:B, FALSE)</f>
        <v>Ivan Stankovic</v>
      </c>
      <c r="I189" t="str">
        <f t="shared" si="10"/>
        <v>2024-07</v>
      </c>
      <c r="J189" s="5" t="str">
        <f t="shared" si="11"/>
        <v>Luxury</v>
      </c>
      <c r="K189" s="5" t="str">
        <f t="shared" si="12"/>
        <v>Medium</v>
      </c>
      <c r="L189" s="5" t="str">
        <f t="shared" si="13"/>
        <v>No</v>
      </c>
      <c r="M189" s="5" t="str">
        <f t="shared" si="14"/>
        <v>Attention Needed</v>
      </c>
      <c r="N189" s="3">
        <f>_xlfn.XLOOKUP(B189, Properties!A:A, Properties!D:D, FALSE)</f>
        <v>174619</v>
      </c>
    </row>
    <row r="190" spans="1:14" x14ac:dyDescent="0.3">
      <c r="A190">
        <v>392</v>
      </c>
      <c r="B190">
        <v>275</v>
      </c>
      <c r="C190">
        <v>3</v>
      </c>
      <c r="D190" s="3">
        <v>200909</v>
      </c>
      <c r="E190" t="s">
        <v>256</v>
      </c>
      <c r="F190" s="1" t="s">
        <v>336</v>
      </c>
      <c r="G190" t="str">
        <f>_xlfn.XLOOKUP(B190, Properties!A:A, Properties!B:B, FALSE)</f>
        <v>Nis</v>
      </c>
      <c r="H190" t="str">
        <f>_xlfn.XLOOKUP(C190, Agents!A:A, Agents!B:B, FALSE)</f>
        <v>Ivan Stankovic</v>
      </c>
      <c r="I190" t="str">
        <f t="shared" si="10"/>
        <v>2024-04</v>
      </c>
      <c r="J190" s="5" t="str">
        <f t="shared" si="11"/>
        <v>Luxury</v>
      </c>
      <c r="K190" s="5" t="str">
        <f t="shared" si="12"/>
        <v>Medium</v>
      </c>
      <c r="L190" s="5" t="str">
        <f t="shared" si="13"/>
        <v>No</v>
      </c>
      <c r="M190" s="5" t="str">
        <f t="shared" si="14"/>
        <v>Attention Needed</v>
      </c>
      <c r="N190" s="3">
        <f>_xlfn.XLOOKUP(B190, Properties!A:A, Properties!D:D, FALSE)</f>
        <v>138918</v>
      </c>
    </row>
    <row r="191" spans="1:14" x14ac:dyDescent="0.3">
      <c r="A191">
        <v>365</v>
      </c>
      <c r="B191">
        <v>252</v>
      </c>
      <c r="C191">
        <v>10</v>
      </c>
      <c r="D191" s="3">
        <v>200858</v>
      </c>
      <c r="E191" t="s">
        <v>259</v>
      </c>
      <c r="F191" s="1" t="s">
        <v>283</v>
      </c>
      <c r="G191" t="str">
        <f>_xlfn.XLOOKUP(B191, Properties!A:A, Properties!B:B, FALSE)</f>
        <v>Nis</v>
      </c>
      <c r="H191" t="str">
        <f>_xlfn.XLOOKUP(C191, Agents!A:A, Agents!B:B, FALSE)</f>
        <v>Marko Jovic</v>
      </c>
      <c r="I191" t="str">
        <f t="shared" si="10"/>
        <v>2024-07</v>
      </c>
      <c r="J191" s="5" t="str">
        <f t="shared" si="11"/>
        <v>Luxury</v>
      </c>
      <c r="K191" s="5" t="str">
        <f t="shared" si="12"/>
        <v>Medium</v>
      </c>
      <c r="L191" s="5" t="str">
        <f t="shared" si="13"/>
        <v>Yes</v>
      </c>
      <c r="M191" s="5" t="str">
        <f t="shared" si="14"/>
        <v>Ok</v>
      </c>
      <c r="N191" s="3">
        <f>_xlfn.XLOOKUP(B191, Properties!A:A, Properties!D:D, FALSE)</f>
        <v>143253</v>
      </c>
    </row>
    <row r="192" spans="1:14" x14ac:dyDescent="0.3">
      <c r="A192">
        <v>48</v>
      </c>
      <c r="B192">
        <v>300</v>
      </c>
      <c r="C192">
        <v>9</v>
      </c>
      <c r="D192" s="3">
        <v>200490</v>
      </c>
      <c r="E192" t="s">
        <v>257</v>
      </c>
      <c r="F192" s="1" t="s">
        <v>260</v>
      </c>
      <c r="G192" t="str">
        <f>_xlfn.XLOOKUP(B192, Properties!A:A, Properties!B:B, FALSE)</f>
        <v>Subotica</v>
      </c>
      <c r="H192" t="str">
        <f>_xlfn.XLOOKUP(C192, Agents!A:A, Agents!B:B, FALSE)</f>
        <v>Ivan Stankovic</v>
      </c>
      <c r="I192" t="str">
        <f t="shared" si="10"/>
        <v>2024-07</v>
      </c>
      <c r="J192" s="5" t="str">
        <f t="shared" si="11"/>
        <v>Luxury</v>
      </c>
      <c r="K192" s="5" t="str">
        <f t="shared" si="12"/>
        <v>Medium</v>
      </c>
      <c r="L192" s="5" t="str">
        <f t="shared" si="13"/>
        <v>No</v>
      </c>
      <c r="M192" s="5" t="str">
        <f t="shared" si="14"/>
        <v>Attention Needed</v>
      </c>
      <c r="N192" s="3">
        <f>_xlfn.XLOOKUP(B192, Properties!A:A, Properties!D:D, FALSE)</f>
        <v>42056</v>
      </c>
    </row>
    <row r="193" spans="1:14" x14ac:dyDescent="0.3">
      <c r="A193">
        <v>352</v>
      </c>
      <c r="B193">
        <v>48</v>
      </c>
      <c r="C193">
        <v>10</v>
      </c>
      <c r="D193" s="3">
        <v>200094</v>
      </c>
      <c r="E193" t="s">
        <v>257</v>
      </c>
      <c r="F193" s="1" t="s">
        <v>291</v>
      </c>
      <c r="G193" t="str">
        <f>_xlfn.XLOOKUP(B193, Properties!A:A, Properties!B:B, FALSE)</f>
        <v>Novi Sad</v>
      </c>
      <c r="H193" t="str">
        <f>_xlfn.XLOOKUP(C193, Agents!A:A, Agents!B:B, FALSE)</f>
        <v>Marko Jovic</v>
      </c>
      <c r="I193" t="str">
        <f t="shared" si="10"/>
        <v>2025-03</v>
      </c>
      <c r="J193" s="5" t="str">
        <f t="shared" si="11"/>
        <v>Luxury</v>
      </c>
      <c r="K193" s="5" t="str">
        <f t="shared" si="12"/>
        <v>Medium</v>
      </c>
      <c r="L193" s="5" t="str">
        <f t="shared" si="13"/>
        <v>No</v>
      </c>
      <c r="M193" s="5" t="str">
        <f t="shared" si="14"/>
        <v>Attention Needed</v>
      </c>
      <c r="N193" s="3">
        <f>_xlfn.XLOOKUP(B193, Properties!A:A, Properties!D:D, FALSE)</f>
        <v>202949</v>
      </c>
    </row>
    <row r="194" spans="1:14" x14ac:dyDescent="0.3">
      <c r="A194">
        <v>39</v>
      </c>
      <c r="B194">
        <v>8</v>
      </c>
      <c r="C194">
        <v>6</v>
      </c>
      <c r="D194" s="3">
        <v>199749</v>
      </c>
      <c r="E194" t="s">
        <v>259</v>
      </c>
      <c r="F194" s="1" t="s">
        <v>187</v>
      </c>
      <c r="G194" t="str">
        <f>_xlfn.XLOOKUP(B194, Properties!A:A, Properties!B:B, FALSE)</f>
        <v>Belgrade</v>
      </c>
      <c r="H194" t="str">
        <f>_xlfn.XLOOKUP(C194, Agents!A:A, Agents!B:B, FALSE)</f>
        <v>Marko Jovic</v>
      </c>
      <c r="I194" t="str">
        <f t="shared" ref="I194:I257" si="15">TEXT(F194, "YYYY-MM")</f>
        <v>2024-01</v>
      </c>
      <c r="J194" s="5" t="str">
        <f t="shared" ref="J194:J257" si="16">IF(D194&gt;200000, "Luxury", "Standard")</f>
        <v>Standard</v>
      </c>
      <c r="K194" s="5" t="str">
        <f t="shared" ref="K194:K257" si="17">IF(D194&gt;250000, "High", IF(D194&gt;150000, "Medium", "Low"))</f>
        <v>Medium</v>
      </c>
      <c r="L194" s="5" t="str">
        <f t="shared" ref="L194:L257" si="18">IF(AND(E194="Sold", D194&gt;200000), "Yes", "No")</f>
        <v>No</v>
      </c>
      <c r="M194" s="5" t="str">
        <f t="shared" ref="M194:M257" si="19">IF(OR(E194="Pending", E194="Cancelled"), "Attention Needed", "Ok")</f>
        <v>Ok</v>
      </c>
      <c r="N194" s="3">
        <f>_xlfn.XLOOKUP(B194, Properties!A:A, Properties!D:D, FALSE)</f>
        <v>213013</v>
      </c>
    </row>
    <row r="195" spans="1:14" x14ac:dyDescent="0.3">
      <c r="A195">
        <v>92</v>
      </c>
      <c r="B195">
        <v>289</v>
      </c>
      <c r="C195">
        <v>10</v>
      </c>
      <c r="D195" s="3">
        <v>199454</v>
      </c>
      <c r="E195" t="s">
        <v>256</v>
      </c>
      <c r="F195" s="1" t="s">
        <v>291</v>
      </c>
      <c r="G195" t="str">
        <f>_xlfn.XLOOKUP(B195, Properties!A:A, Properties!B:B, FALSE)</f>
        <v>Nis</v>
      </c>
      <c r="H195" t="str">
        <f>_xlfn.XLOOKUP(C195, Agents!A:A, Agents!B:B, FALSE)</f>
        <v>Marko Jovic</v>
      </c>
      <c r="I195" t="str">
        <f t="shared" si="15"/>
        <v>2025-03</v>
      </c>
      <c r="J195" s="5" t="str">
        <f t="shared" si="16"/>
        <v>Standard</v>
      </c>
      <c r="K195" s="5" t="str">
        <f t="shared" si="17"/>
        <v>Medium</v>
      </c>
      <c r="L195" s="5" t="str">
        <f t="shared" si="18"/>
        <v>No</v>
      </c>
      <c r="M195" s="5" t="str">
        <f t="shared" si="19"/>
        <v>Attention Needed</v>
      </c>
      <c r="N195" s="3">
        <f>_xlfn.XLOOKUP(B195, Properties!A:A, Properties!D:D, FALSE)</f>
        <v>56309</v>
      </c>
    </row>
    <row r="196" spans="1:14" x14ac:dyDescent="0.3">
      <c r="A196">
        <v>46</v>
      </c>
      <c r="B196">
        <v>228</v>
      </c>
      <c r="C196">
        <v>2</v>
      </c>
      <c r="D196" s="3">
        <v>198879</v>
      </c>
      <c r="E196" t="s">
        <v>259</v>
      </c>
      <c r="F196" s="1" t="s">
        <v>220</v>
      </c>
      <c r="G196" t="str">
        <f>_xlfn.XLOOKUP(B196, Properties!A:A, Properties!B:B, FALSE)</f>
        <v>Becej</v>
      </c>
      <c r="H196" t="str">
        <f>_xlfn.XLOOKUP(C196, Agents!A:A, Agents!B:B, FALSE)</f>
        <v>Jelena Petrovic</v>
      </c>
      <c r="I196" t="str">
        <f t="shared" si="15"/>
        <v>2024-11</v>
      </c>
      <c r="J196" s="5" t="str">
        <f t="shared" si="16"/>
        <v>Standard</v>
      </c>
      <c r="K196" s="5" t="str">
        <f t="shared" si="17"/>
        <v>Medium</v>
      </c>
      <c r="L196" s="5" t="str">
        <f t="shared" si="18"/>
        <v>No</v>
      </c>
      <c r="M196" s="5" t="str">
        <f t="shared" si="19"/>
        <v>Ok</v>
      </c>
      <c r="N196" s="3">
        <f>_xlfn.XLOOKUP(B196, Properties!A:A, Properties!D:D, FALSE)</f>
        <v>78329</v>
      </c>
    </row>
    <row r="197" spans="1:14" x14ac:dyDescent="0.3">
      <c r="A197">
        <v>422</v>
      </c>
      <c r="B197">
        <v>68</v>
      </c>
      <c r="C197">
        <v>4</v>
      </c>
      <c r="D197" s="3">
        <v>198871</v>
      </c>
      <c r="E197" t="s">
        <v>259</v>
      </c>
      <c r="F197" s="1" t="s">
        <v>406</v>
      </c>
      <c r="G197" t="str">
        <f>_xlfn.XLOOKUP(B197, Properties!A:A, Properties!B:B, FALSE)</f>
        <v>Novi Sad</v>
      </c>
      <c r="H197" t="str">
        <f>_xlfn.XLOOKUP(C197, Agents!A:A, Agents!B:B, FALSE)</f>
        <v>Marko Jovic</v>
      </c>
      <c r="I197" t="str">
        <f t="shared" si="15"/>
        <v>2025-02</v>
      </c>
      <c r="J197" s="5" t="str">
        <f t="shared" si="16"/>
        <v>Standard</v>
      </c>
      <c r="K197" s="5" t="str">
        <f t="shared" si="17"/>
        <v>Medium</v>
      </c>
      <c r="L197" s="5" t="str">
        <f t="shared" si="18"/>
        <v>No</v>
      </c>
      <c r="M197" s="5" t="str">
        <f t="shared" si="19"/>
        <v>Ok</v>
      </c>
      <c r="N197" s="3">
        <f>_xlfn.XLOOKUP(B197, Properties!A:A, Properties!D:D, FALSE)</f>
        <v>151275</v>
      </c>
    </row>
    <row r="198" spans="1:14" x14ac:dyDescent="0.3">
      <c r="A198">
        <v>292</v>
      </c>
      <c r="B198">
        <v>295</v>
      </c>
      <c r="C198">
        <v>6</v>
      </c>
      <c r="D198" s="3">
        <v>198120</v>
      </c>
      <c r="E198" t="s">
        <v>257</v>
      </c>
      <c r="F198" s="1" t="s">
        <v>371</v>
      </c>
      <c r="G198" t="str">
        <f>_xlfn.XLOOKUP(B198, Properties!A:A, Properties!B:B, FALSE)</f>
        <v>Nis</v>
      </c>
      <c r="H198" t="str">
        <f>_xlfn.XLOOKUP(C198, Agents!A:A, Agents!B:B, FALSE)</f>
        <v>Marko Jovic</v>
      </c>
      <c r="I198" t="str">
        <f t="shared" si="15"/>
        <v>2024-05</v>
      </c>
      <c r="J198" s="5" t="str">
        <f t="shared" si="16"/>
        <v>Standard</v>
      </c>
      <c r="K198" s="5" t="str">
        <f t="shared" si="17"/>
        <v>Medium</v>
      </c>
      <c r="L198" s="5" t="str">
        <f t="shared" si="18"/>
        <v>No</v>
      </c>
      <c r="M198" s="5" t="str">
        <f t="shared" si="19"/>
        <v>Attention Needed</v>
      </c>
      <c r="N198" s="3">
        <f>_xlfn.XLOOKUP(B198, Properties!A:A, Properties!D:D, FALSE)</f>
        <v>113010</v>
      </c>
    </row>
    <row r="199" spans="1:14" x14ac:dyDescent="0.3">
      <c r="A199">
        <v>478</v>
      </c>
      <c r="B199">
        <v>165</v>
      </c>
      <c r="C199">
        <v>4</v>
      </c>
      <c r="D199" s="3">
        <v>197738</v>
      </c>
      <c r="E199" t="s">
        <v>256</v>
      </c>
      <c r="F199" s="1" t="s">
        <v>418</v>
      </c>
      <c r="G199" t="str">
        <f>_xlfn.XLOOKUP(B199, Properties!A:A, Properties!B:B, FALSE)</f>
        <v>Novi Sad</v>
      </c>
      <c r="H199" t="str">
        <f>_xlfn.XLOOKUP(C199, Agents!A:A, Agents!B:B, FALSE)</f>
        <v>Marko Jovic</v>
      </c>
      <c r="I199" t="str">
        <f t="shared" si="15"/>
        <v>2024-05</v>
      </c>
      <c r="J199" s="5" t="str">
        <f t="shared" si="16"/>
        <v>Standard</v>
      </c>
      <c r="K199" s="5" t="str">
        <f t="shared" si="17"/>
        <v>Medium</v>
      </c>
      <c r="L199" s="5" t="str">
        <f t="shared" si="18"/>
        <v>No</v>
      </c>
      <c r="M199" s="5" t="str">
        <f t="shared" si="19"/>
        <v>Attention Needed</v>
      </c>
      <c r="N199" s="3">
        <f>_xlfn.XLOOKUP(B199, Properties!A:A, Properties!D:D, FALSE)</f>
        <v>132099</v>
      </c>
    </row>
    <row r="200" spans="1:14" x14ac:dyDescent="0.3">
      <c r="A200">
        <v>364</v>
      </c>
      <c r="B200">
        <v>161</v>
      </c>
      <c r="C200">
        <v>3</v>
      </c>
      <c r="D200" s="3">
        <v>197320</v>
      </c>
      <c r="E200" t="s">
        <v>256</v>
      </c>
      <c r="F200" s="1" t="s">
        <v>223</v>
      </c>
      <c r="G200" t="str">
        <f>_xlfn.XLOOKUP(B200, Properties!A:A, Properties!B:B, FALSE)</f>
        <v>Subotica</v>
      </c>
      <c r="H200" t="str">
        <f>_xlfn.XLOOKUP(C200, Agents!A:A, Agents!B:B, FALSE)</f>
        <v>Ivan Stankovic</v>
      </c>
      <c r="I200" t="str">
        <f t="shared" si="15"/>
        <v>2024-05</v>
      </c>
      <c r="J200" s="5" t="str">
        <f t="shared" si="16"/>
        <v>Standard</v>
      </c>
      <c r="K200" s="5" t="str">
        <f t="shared" si="17"/>
        <v>Medium</v>
      </c>
      <c r="L200" s="5" t="str">
        <f t="shared" si="18"/>
        <v>No</v>
      </c>
      <c r="M200" s="5" t="str">
        <f t="shared" si="19"/>
        <v>Attention Needed</v>
      </c>
      <c r="N200" s="3">
        <f>_xlfn.XLOOKUP(B200, Properties!A:A, Properties!D:D, FALSE)</f>
        <v>66273</v>
      </c>
    </row>
    <row r="201" spans="1:14" x14ac:dyDescent="0.3">
      <c r="A201">
        <v>296</v>
      </c>
      <c r="B201">
        <v>177</v>
      </c>
      <c r="C201">
        <v>7</v>
      </c>
      <c r="D201" s="3">
        <v>197108</v>
      </c>
      <c r="E201" t="s">
        <v>257</v>
      </c>
      <c r="F201" s="1" t="s">
        <v>78</v>
      </c>
      <c r="G201" t="str">
        <f>_xlfn.XLOOKUP(B201, Properties!A:A, Properties!B:B, FALSE)</f>
        <v>Novi Sad</v>
      </c>
      <c r="H201" t="str">
        <f>_xlfn.XLOOKUP(C201, Agents!A:A, Agents!B:B, FALSE)</f>
        <v>Ana Markovic</v>
      </c>
      <c r="I201" t="str">
        <f t="shared" si="15"/>
        <v>2024-12</v>
      </c>
      <c r="J201" s="5" t="str">
        <f t="shared" si="16"/>
        <v>Standard</v>
      </c>
      <c r="K201" s="5" t="str">
        <f t="shared" si="17"/>
        <v>Medium</v>
      </c>
      <c r="L201" s="5" t="str">
        <f t="shared" si="18"/>
        <v>No</v>
      </c>
      <c r="M201" s="5" t="str">
        <f t="shared" si="19"/>
        <v>Attention Needed</v>
      </c>
      <c r="N201" s="3">
        <f>_xlfn.XLOOKUP(B201, Properties!A:A, Properties!D:D, FALSE)</f>
        <v>115680</v>
      </c>
    </row>
    <row r="202" spans="1:14" x14ac:dyDescent="0.3">
      <c r="A202">
        <v>218</v>
      </c>
      <c r="B202">
        <v>264</v>
      </c>
      <c r="C202">
        <v>3</v>
      </c>
      <c r="D202" s="3">
        <v>197001</v>
      </c>
      <c r="E202" t="s">
        <v>256</v>
      </c>
      <c r="F202" s="1" t="s">
        <v>349</v>
      </c>
      <c r="G202" t="str">
        <f>_xlfn.XLOOKUP(B202, Properties!A:A, Properties!B:B, FALSE)</f>
        <v>Becej</v>
      </c>
      <c r="H202" t="str">
        <f>_xlfn.XLOOKUP(C202, Agents!A:A, Agents!B:B, FALSE)</f>
        <v>Ivan Stankovic</v>
      </c>
      <c r="I202" t="str">
        <f t="shared" si="15"/>
        <v>2024-03</v>
      </c>
      <c r="J202" s="5" t="str">
        <f t="shared" si="16"/>
        <v>Standard</v>
      </c>
      <c r="K202" s="5" t="str">
        <f t="shared" si="17"/>
        <v>Medium</v>
      </c>
      <c r="L202" s="5" t="str">
        <f t="shared" si="18"/>
        <v>No</v>
      </c>
      <c r="M202" s="5" t="str">
        <f t="shared" si="19"/>
        <v>Attention Needed</v>
      </c>
      <c r="N202" s="3">
        <f>_xlfn.XLOOKUP(B202, Properties!A:A, Properties!D:D, FALSE)</f>
        <v>202401</v>
      </c>
    </row>
    <row r="203" spans="1:14" x14ac:dyDescent="0.3">
      <c r="A203">
        <v>402</v>
      </c>
      <c r="B203">
        <v>148</v>
      </c>
      <c r="C203">
        <v>3</v>
      </c>
      <c r="D203" s="3">
        <v>194930</v>
      </c>
      <c r="E203" t="s">
        <v>259</v>
      </c>
      <c r="F203" s="1" t="s">
        <v>119</v>
      </c>
      <c r="G203" t="str">
        <f>_xlfn.XLOOKUP(B203, Properties!A:A, Properties!B:B, FALSE)</f>
        <v>Becej</v>
      </c>
      <c r="H203" t="str">
        <f>_xlfn.XLOOKUP(C203, Agents!A:A, Agents!B:B, FALSE)</f>
        <v>Ivan Stankovic</v>
      </c>
      <c r="I203" t="str">
        <f t="shared" si="15"/>
        <v>2025-03</v>
      </c>
      <c r="J203" s="5" t="str">
        <f t="shared" si="16"/>
        <v>Standard</v>
      </c>
      <c r="K203" s="5" t="str">
        <f t="shared" si="17"/>
        <v>Medium</v>
      </c>
      <c r="L203" s="5" t="str">
        <f t="shared" si="18"/>
        <v>No</v>
      </c>
      <c r="M203" s="5" t="str">
        <f t="shared" si="19"/>
        <v>Ok</v>
      </c>
      <c r="N203" s="3">
        <f>_xlfn.XLOOKUP(B203, Properties!A:A, Properties!D:D, FALSE)</f>
        <v>134766</v>
      </c>
    </row>
    <row r="204" spans="1:14" x14ac:dyDescent="0.3">
      <c r="A204">
        <v>443</v>
      </c>
      <c r="B204">
        <v>46</v>
      </c>
      <c r="C204">
        <v>2</v>
      </c>
      <c r="D204" s="3">
        <v>194286</v>
      </c>
      <c r="E204" t="s">
        <v>259</v>
      </c>
      <c r="F204" s="1" t="s">
        <v>321</v>
      </c>
      <c r="G204" t="str">
        <f>_xlfn.XLOOKUP(B204, Properties!A:A, Properties!B:B, FALSE)</f>
        <v>Novi Sad</v>
      </c>
      <c r="H204" t="str">
        <f>_xlfn.XLOOKUP(C204, Agents!A:A, Agents!B:B, FALSE)</f>
        <v>Jelena Petrovic</v>
      </c>
      <c r="I204" t="str">
        <f t="shared" si="15"/>
        <v>2024-07</v>
      </c>
      <c r="J204" s="5" t="str">
        <f t="shared" si="16"/>
        <v>Standard</v>
      </c>
      <c r="K204" s="5" t="str">
        <f t="shared" si="17"/>
        <v>Medium</v>
      </c>
      <c r="L204" s="5" t="str">
        <f t="shared" si="18"/>
        <v>No</v>
      </c>
      <c r="M204" s="5" t="str">
        <f t="shared" si="19"/>
        <v>Ok</v>
      </c>
      <c r="N204" s="3">
        <f>_xlfn.XLOOKUP(B204, Properties!A:A, Properties!D:D, FALSE)</f>
        <v>52453</v>
      </c>
    </row>
    <row r="205" spans="1:14" x14ac:dyDescent="0.3">
      <c r="A205">
        <v>203</v>
      </c>
      <c r="B205">
        <v>82</v>
      </c>
      <c r="C205">
        <v>6</v>
      </c>
      <c r="D205" s="3">
        <v>193952</v>
      </c>
      <c r="E205" t="s">
        <v>257</v>
      </c>
      <c r="F205" s="1" t="s">
        <v>79</v>
      </c>
      <c r="G205" t="str">
        <f>_xlfn.XLOOKUP(B205, Properties!A:A, Properties!B:B, FALSE)</f>
        <v>Nis</v>
      </c>
      <c r="H205" t="str">
        <f>_xlfn.XLOOKUP(C205, Agents!A:A, Agents!B:B, FALSE)</f>
        <v>Marko Jovic</v>
      </c>
      <c r="I205" t="str">
        <f t="shared" si="15"/>
        <v>2024-04</v>
      </c>
      <c r="J205" s="5" t="str">
        <f t="shared" si="16"/>
        <v>Standard</v>
      </c>
      <c r="K205" s="5" t="str">
        <f t="shared" si="17"/>
        <v>Medium</v>
      </c>
      <c r="L205" s="5" t="str">
        <f t="shared" si="18"/>
        <v>No</v>
      </c>
      <c r="M205" s="5" t="str">
        <f t="shared" si="19"/>
        <v>Attention Needed</v>
      </c>
      <c r="N205" s="3">
        <f>_xlfn.XLOOKUP(B205, Properties!A:A, Properties!D:D, FALSE)</f>
        <v>78712</v>
      </c>
    </row>
    <row r="206" spans="1:14" x14ac:dyDescent="0.3">
      <c r="A206">
        <v>107</v>
      </c>
      <c r="B206">
        <v>299</v>
      </c>
      <c r="C206">
        <v>3</v>
      </c>
      <c r="D206" s="3">
        <v>192650</v>
      </c>
      <c r="E206" t="s">
        <v>256</v>
      </c>
      <c r="F206" s="1" t="s">
        <v>279</v>
      </c>
      <c r="G206" t="str">
        <f>_xlfn.XLOOKUP(B206, Properties!A:A, Properties!B:B, FALSE)</f>
        <v>Belgrade</v>
      </c>
      <c r="H206" t="str">
        <f>_xlfn.XLOOKUP(C206, Agents!A:A, Agents!B:B, FALSE)</f>
        <v>Ivan Stankovic</v>
      </c>
      <c r="I206" t="str">
        <f t="shared" si="15"/>
        <v>2025-05</v>
      </c>
      <c r="J206" s="5" t="str">
        <f t="shared" si="16"/>
        <v>Standard</v>
      </c>
      <c r="K206" s="5" t="str">
        <f t="shared" si="17"/>
        <v>Medium</v>
      </c>
      <c r="L206" s="5" t="str">
        <f t="shared" si="18"/>
        <v>No</v>
      </c>
      <c r="M206" s="5" t="str">
        <f t="shared" si="19"/>
        <v>Attention Needed</v>
      </c>
      <c r="N206" s="3">
        <f>_xlfn.XLOOKUP(B206, Properties!A:A, Properties!D:D, FALSE)</f>
        <v>73611</v>
      </c>
    </row>
    <row r="207" spans="1:14" x14ac:dyDescent="0.3">
      <c r="A207">
        <v>111</v>
      </c>
      <c r="B207">
        <v>186</v>
      </c>
      <c r="C207">
        <v>1</v>
      </c>
      <c r="D207" s="3">
        <v>191934</v>
      </c>
      <c r="E207" t="s">
        <v>256</v>
      </c>
      <c r="F207" s="1" t="s">
        <v>282</v>
      </c>
      <c r="G207" t="str">
        <f>_xlfn.XLOOKUP(B207, Properties!A:A, Properties!B:B, FALSE)</f>
        <v>Novi Sad</v>
      </c>
      <c r="H207" t="str">
        <f>_xlfn.XLOOKUP(C207, Agents!A:A, Agents!B:B, FALSE)</f>
        <v>Ana Markovic</v>
      </c>
      <c r="I207" t="str">
        <f t="shared" si="15"/>
        <v>2024-04</v>
      </c>
      <c r="J207" s="5" t="str">
        <f t="shared" si="16"/>
        <v>Standard</v>
      </c>
      <c r="K207" s="5" t="str">
        <f t="shared" si="17"/>
        <v>Medium</v>
      </c>
      <c r="L207" s="5" t="str">
        <f t="shared" si="18"/>
        <v>No</v>
      </c>
      <c r="M207" s="5" t="str">
        <f t="shared" si="19"/>
        <v>Attention Needed</v>
      </c>
      <c r="N207" s="3">
        <f>_xlfn.XLOOKUP(B207, Properties!A:A, Properties!D:D, FALSE)</f>
        <v>213360</v>
      </c>
    </row>
    <row r="208" spans="1:14" x14ac:dyDescent="0.3">
      <c r="A208">
        <v>74</v>
      </c>
      <c r="B208">
        <v>146</v>
      </c>
      <c r="C208">
        <v>10</v>
      </c>
      <c r="D208" s="3">
        <v>191700</v>
      </c>
      <c r="E208" t="s">
        <v>256</v>
      </c>
      <c r="F208" s="1" t="s">
        <v>135</v>
      </c>
      <c r="G208" t="str">
        <f>_xlfn.XLOOKUP(B208, Properties!A:A, Properties!B:B, FALSE)</f>
        <v>Belgrade</v>
      </c>
      <c r="H208" t="str">
        <f>_xlfn.XLOOKUP(C208, Agents!A:A, Agents!B:B, FALSE)</f>
        <v>Marko Jovic</v>
      </c>
      <c r="I208" t="str">
        <f t="shared" si="15"/>
        <v>2024-01</v>
      </c>
      <c r="J208" s="5" t="str">
        <f t="shared" si="16"/>
        <v>Standard</v>
      </c>
      <c r="K208" s="5" t="str">
        <f t="shared" si="17"/>
        <v>Medium</v>
      </c>
      <c r="L208" s="5" t="str">
        <f t="shared" si="18"/>
        <v>No</v>
      </c>
      <c r="M208" s="5" t="str">
        <f t="shared" si="19"/>
        <v>Attention Needed</v>
      </c>
      <c r="N208" s="3">
        <f>_xlfn.XLOOKUP(B208, Properties!A:A, Properties!D:D, FALSE)</f>
        <v>138643</v>
      </c>
    </row>
    <row r="209" spans="1:14" x14ac:dyDescent="0.3">
      <c r="A209">
        <v>222</v>
      </c>
      <c r="B209">
        <v>170</v>
      </c>
      <c r="C209">
        <v>2</v>
      </c>
      <c r="D209" s="3">
        <v>191311</v>
      </c>
      <c r="E209" t="s">
        <v>256</v>
      </c>
      <c r="F209" s="1" t="s">
        <v>350</v>
      </c>
      <c r="G209" t="str">
        <f>_xlfn.XLOOKUP(B209, Properties!A:A, Properties!B:B, FALSE)</f>
        <v>Subotica</v>
      </c>
      <c r="H209" t="str">
        <f>_xlfn.XLOOKUP(C209, Agents!A:A, Agents!B:B, FALSE)</f>
        <v>Jelena Petrovic</v>
      </c>
      <c r="I209" t="str">
        <f t="shared" si="15"/>
        <v>2025-02</v>
      </c>
      <c r="J209" s="5" t="str">
        <f t="shared" si="16"/>
        <v>Standard</v>
      </c>
      <c r="K209" s="5" t="str">
        <f t="shared" si="17"/>
        <v>Medium</v>
      </c>
      <c r="L209" s="5" t="str">
        <f t="shared" si="18"/>
        <v>No</v>
      </c>
      <c r="M209" s="5" t="str">
        <f t="shared" si="19"/>
        <v>Attention Needed</v>
      </c>
      <c r="N209" s="3">
        <f>_xlfn.XLOOKUP(B209, Properties!A:A, Properties!D:D, FALSE)</f>
        <v>157308</v>
      </c>
    </row>
    <row r="210" spans="1:14" x14ac:dyDescent="0.3">
      <c r="A210">
        <v>437</v>
      </c>
      <c r="B210">
        <v>85</v>
      </c>
      <c r="C210">
        <v>1</v>
      </c>
      <c r="D210" s="3">
        <v>190174</v>
      </c>
      <c r="E210" t="s">
        <v>256</v>
      </c>
      <c r="F210" s="1" t="s">
        <v>227</v>
      </c>
      <c r="G210" t="str">
        <f>_xlfn.XLOOKUP(B210, Properties!A:A, Properties!B:B, FALSE)</f>
        <v>Nis</v>
      </c>
      <c r="H210" t="str">
        <f>_xlfn.XLOOKUP(C210, Agents!A:A, Agents!B:B, FALSE)</f>
        <v>Ana Markovic</v>
      </c>
      <c r="I210" t="str">
        <f t="shared" si="15"/>
        <v>2025-01</v>
      </c>
      <c r="J210" s="5" t="str">
        <f t="shared" si="16"/>
        <v>Standard</v>
      </c>
      <c r="K210" s="5" t="str">
        <f t="shared" si="17"/>
        <v>Medium</v>
      </c>
      <c r="L210" s="5" t="str">
        <f t="shared" si="18"/>
        <v>No</v>
      </c>
      <c r="M210" s="5" t="str">
        <f t="shared" si="19"/>
        <v>Attention Needed</v>
      </c>
      <c r="N210" s="3">
        <f>_xlfn.XLOOKUP(B210, Properties!A:A, Properties!D:D, FALSE)</f>
        <v>181760</v>
      </c>
    </row>
    <row r="211" spans="1:14" x14ac:dyDescent="0.3">
      <c r="A211">
        <v>500</v>
      </c>
      <c r="B211">
        <v>62</v>
      </c>
      <c r="C211">
        <v>2</v>
      </c>
      <c r="D211" s="3">
        <v>189496</v>
      </c>
      <c r="E211" t="s">
        <v>259</v>
      </c>
      <c r="F211" s="1" t="s">
        <v>359</v>
      </c>
      <c r="G211" t="str">
        <f>_xlfn.XLOOKUP(B211, Properties!A:A, Properties!B:B, FALSE)</f>
        <v>Becej</v>
      </c>
      <c r="H211" t="str">
        <f>_xlfn.XLOOKUP(C211, Agents!A:A, Agents!B:B, FALSE)</f>
        <v>Jelena Petrovic</v>
      </c>
      <c r="I211" t="str">
        <f t="shared" si="15"/>
        <v>2025-02</v>
      </c>
      <c r="J211" s="5" t="str">
        <f t="shared" si="16"/>
        <v>Standard</v>
      </c>
      <c r="K211" s="5" t="str">
        <f t="shared" si="17"/>
        <v>Medium</v>
      </c>
      <c r="L211" s="5" t="str">
        <f t="shared" si="18"/>
        <v>No</v>
      </c>
      <c r="M211" s="5" t="str">
        <f t="shared" si="19"/>
        <v>Ok</v>
      </c>
      <c r="N211" s="3">
        <f>_xlfn.XLOOKUP(B211, Properties!A:A, Properties!D:D, FALSE)</f>
        <v>79914</v>
      </c>
    </row>
    <row r="212" spans="1:14" x14ac:dyDescent="0.3">
      <c r="A212">
        <v>185</v>
      </c>
      <c r="B212">
        <v>64</v>
      </c>
      <c r="C212">
        <v>9</v>
      </c>
      <c r="D212" s="3">
        <v>189448</v>
      </c>
      <c r="E212" t="s">
        <v>259</v>
      </c>
      <c r="F212" s="1" t="s">
        <v>334</v>
      </c>
      <c r="G212" t="str">
        <f>_xlfn.XLOOKUP(B212, Properties!A:A, Properties!B:B, FALSE)</f>
        <v>Becej</v>
      </c>
      <c r="H212" t="str">
        <f>_xlfn.XLOOKUP(C212, Agents!A:A, Agents!B:B, FALSE)</f>
        <v>Ivan Stankovic</v>
      </c>
      <c r="I212" t="str">
        <f t="shared" si="15"/>
        <v>2024-03</v>
      </c>
      <c r="J212" s="5" t="str">
        <f t="shared" si="16"/>
        <v>Standard</v>
      </c>
      <c r="K212" s="5" t="str">
        <f t="shared" si="17"/>
        <v>Medium</v>
      </c>
      <c r="L212" s="5" t="str">
        <f t="shared" si="18"/>
        <v>No</v>
      </c>
      <c r="M212" s="5" t="str">
        <f t="shared" si="19"/>
        <v>Ok</v>
      </c>
      <c r="N212" s="3">
        <f>_xlfn.XLOOKUP(B212, Properties!A:A, Properties!D:D, FALSE)</f>
        <v>221122</v>
      </c>
    </row>
    <row r="213" spans="1:14" x14ac:dyDescent="0.3">
      <c r="A213">
        <v>483</v>
      </c>
      <c r="B213">
        <v>189</v>
      </c>
      <c r="C213">
        <v>4</v>
      </c>
      <c r="D213" s="3">
        <v>189336</v>
      </c>
      <c r="E213" t="s">
        <v>256</v>
      </c>
      <c r="F213" s="1" t="s">
        <v>391</v>
      </c>
      <c r="G213" t="str">
        <f>_xlfn.XLOOKUP(B213, Properties!A:A, Properties!B:B, FALSE)</f>
        <v>Nis</v>
      </c>
      <c r="H213" t="str">
        <f>_xlfn.XLOOKUP(C213, Agents!A:A, Agents!B:B, FALSE)</f>
        <v>Marko Jovic</v>
      </c>
      <c r="I213" t="str">
        <f t="shared" si="15"/>
        <v>2025-01</v>
      </c>
      <c r="J213" s="5" t="str">
        <f t="shared" si="16"/>
        <v>Standard</v>
      </c>
      <c r="K213" s="5" t="str">
        <f t="shared" si="17"/>
        <v>Medium</v>
      </c>
      <c r="L213" s="5" t="str">
        <f t="shared" si="18"/>
        <v>No</v>
      </c>
      <c r="M213" s="5" t="str">
        <f t="shared" si="19"/>
        <v>Attention Needed</v>
      </c>
      <c r="N213" s="3">
        <f>_xlfn.XLOOKUP(B213, Properties!A:A, Properties!D:D, FALSE)</f>
        <v>111777</v>
      </c>
    </row>
    <row r="214" spans="1:14" x14ac:dyDescent="0.3">
      <c r="A214">
        <v>370</v>
      </c>
      <c r="B214">
        <v>210</v>
      </c>
      <c r="C214">
        <v>8</v>
      </c>
      <c r="D214" s="3">
        <v>188771</v>
      </c>
      <c r="E214" t="s">
        <v>259</v>
      </c>
      <c r="F214" s="1" t="s">
        <v>315</v>
      </c>
      <c r="G214" t="str">
        <f>_xlfn.XLOOKUP(B214, Properties!A:A, Properties!B:B, FALSE)</f>
        <v>Novi Sad</v>
      </c>
      <c r="H214" t="str">
        <f>_xlfn.XLOOKUP(C214, Agents!A:A, Agents!B:B, FALSE)</f>
        <v>Mina Lukic</v>
      </c>
      <c r="I214" t="str">
        <f t="shared" si="15"/>
        <v>2024-05</v>
      </c>
      <c r="J214" s="5" t="str">
        <f t="shared" si="16"/>
        <v>Standard</v>
      </c>
      <c r="K214" s="5" t="str">
        <f t="shared" si="17"/>
        <v>Medium</v>
      </c>
      <c r="L214" s="5" t="str">
        <f t="shared" si="18"/>
        <v>No</v>
      </c>
      <c r="M214" s="5" t="str">
        <f t="shared" si="19"/>
        <v>Ok</v>
      </c>
      <c r="N214" s="3">
        <f>_xlfn.XLOOKUP(B214, Properties!A:A, Properties!D:D, FALSE)</f>
        <v>199319</v>
      </c>
    </row>
    <row r="215" spans="1:14" x14ac:dyDescent="0.3">
      <c r="A215">
        <v>188</v>
      </c>
      <c r="B215">
        <v>283</v>
      </c>
      <c r="C215">
        <v>5</v>
      </c>
      <c r="D215" s="3">
        <v>188767</v>
      </c>
      <c r="E215" t="s">
        <v>259</v>
      </c>
      <c r="F215" s="1" t="s">
        <v>337</v>
      </c>
      <c r="G215" t="str">
        <f>_xlfn.XLOOKUP(B215, Properties!A:A, Properties!B:B, FALSE)</f>
        <v>Nis</v>
      </c>
      <c r="H215" t="str">
        <f>_xlfn.XLOOKUP(C215, Agents!A:A, Agents!B:B, FALSE)</f>
        <v>Mina Lukic</v>
      </c>
      <c r="I215" t="str">
        <f t="shared" si="15"/>
        <v>2024-11</v>
      </c>
      <c r="J215" s="5" t="str">
        <f t="shared" si="16"/>
        <v>Standard</v>
      </c>
      <c r="K215" s="5" t="str">
        <f t="shared" si="17"/>
        <v>Medium</v>
      </c>
      <c r="L215" s="5" t="str">
        <f t="shared" si="18"/>
        <v>No</v>
      </c>
      <c r="M215" s="5" t="str">
        <f t="shared" si="19"/>
        <v>Ok</v>
      </c>
      <c r="N215" s="3">
        <f>_xlfn.XLOOKUP(B215, Properties!A:A, Properties!D:D, FALSE)</f>
        <v>149365</v>
      </c>
    </row>
    <row r="216" spans="1:14" x14ac:dyDescent="0.3">
      <c r="A216">
        <v>4</v>
      </c>
      <c r="B216">
        <v>218</v>
      </c>
      <c r="C216">
        <v>5</v>
      </c>
      <c r="D216" s="3">
        <v>188398</v>
      </c>
      <c r="E216" t="s">
        <v>256</v>
      </c>
      <c r="F216" s="1" t="s">
        <v>13</v>
      </c>
      <c r="G216" t="str">
        <f>_xlfn.XLOOKUP(B216, Properties!A:A, Properties!B:B, FALSE)</f>
        <v>Belgrade</v>
      </c>
      <c r="H216" t="str">
        <f>_xlfn.XLOOKUP(C216, Agents!A:A, Agents!B:B, FALSE)</f>
        <v>Mina Lukic</v>
      </c>
      <c r="I216" t="str">
        <f t="shared" si="15"/>
        <v>2024-04</v>
      </c>
      <c r="J216" s="5" t="str">
        <f t="shared" si="16"/>
        <v>Standard</v>
      </c>
      <c r="K216" s="5" t="str">
        <f t="shared" si="17"/>
        <v>Medium</v>
      </c>
      <c r="L216" s="5" t="str">
        <f t="shared" si="18"/>
        <v>No</v>
      </c>
      <c r="M216" s="5" t="str">
        <f t="shared" si="19"/>
        <v>Attention Needed</v>
      </c>
      <c r="N216" s="3">
        <f>_xlfn.XLOOKUP(B216, Properties!A:A, Properties!D:D, FALSE)</f>
        <v>112719</v>
      </c>
    </row>
    <row r="217" spans="1:14" x14ac:dyDescent="0.3">
      <c r="A217">
        <v>194</v>
      </c>
      <c r="B217">
        <v>280</v>
      </c>
      <c r="C217">
        <v>5</v>
      </c>
      <c r="D217" s="3">
        <v>188384</v>
      </c>
      <c r="E217" t="s">
        <v>257</v>
      </c>
      <c r="F217" s="1" t="s">
        <v>340</v>
      </c>
      <c r="G217" t="str">
        <f>_xlfn.XLOOKUP(B217, Properties!A:A, Properties!B:B, FALSE)</f>
        <v>Subotica</v>
      </c>
      <c r="H217" t="str">
        <f>_xlfn.XLOOKUP(C217, Agents!A:A, Agents!B:B, FALSE)</f>
        <v>Mina Lukic</v>
      </c>
      <c r="I217" t="str">
        <f t="shared" si="15"/>
        <v>2024-09</v>
      </c>
      <c r="J217" s="5" t="str">
        <f t="shared" si="16"/>
        <v>Standard</v>
      </c>
      <c r="K217" s="5" t="str">
        <f t="shared" si="17"/>
        <v>Medium</v>
      </c>
      <c r="L217" s="5" t="str">
        <f t="shared" si="18"/>
        <v>No</v>
      </c>
      <c r="M217" s="5" t="str">
        <f t="shared" si="19"/>
        <v>Attention Needed</v>
      </c>
      <c r="N217" s="3">
        <f>_xlfn.XLOOKUP(B217, Properties!A:A, Properties!D:D, FALSE)</f>
        <v>104144</v>
      </c>
    </row>
    <row r="218" spans="1:14" x14ac:dyDescent="0.3">
      <c r="A218">
        <v>384</v>
      </c>
      <c r="B218">
        <v>232</v>
      </c>
      <c r="C218">
        <v>6</v>
      </c>
      <c r="D218" s="3">
        <v>187424</v>
      </c>
      <c r="E218" t="s">
        <v>259</v>
      </c>
      <c r="F218" s="1" t="s">
        <v>399</v>
      </c>
      <c r="G218" t="str">
        <f>_xlfn.XLOOKUP(B218, Properties!A:A, Properties!B:B, FALSE)</f>
        <v>Nis</v>
      </c>
      <c r="H218" t="str">
        <f>_xlfn.XLOOKUP(C218, Agents!A:A, Agents!B:B, FALSE)</f>
        <v>Marko Jovic</v>
      </c>
      <c r="I218" t="str">
        <f t="shared" si="15"/>
        <v>2024-01</v>
      </c>
      <c r="J218" s="5" t="str">
        <f t="shared" si="16"/>
        <v>Standard</v>
      </c>
      <c r="K218" s="5" t="str">
        <f t="shared" si="17"/>
        <v>Medium</v>
      </c>
      <c r="L218" s="5" t="str">
        <f t="shared" si="18"/>
        <v>No</v>
      </c>
      <c r="M218" s="5" t="str">
        <f t="shared" si="19"/>
        <v>Ok</v>
      </c>
      <c r="N218" s="3">
        <f>_xlfn.XLOOKUP(B218, Properties!A:A, Properties!D:D, FALSE)</f>
        <v>52329</v>
      </c>
    </row>
    <row r="219" spans="1:14" x14ac:dyDescent="0.3">
      <c r="A219">
        <v>297</v>
      </c>
      <c r="B219">
        <v>214</v>
      </c>
      <c r="C219">
        <v>7</v>
      </c>
      <c r="D219" s="3">
        <v>187227</v>
      </c>
      <c r="E219" t="s">
        <v>259</v>
      </c>
      <c r="F219" s="1" t="s">
        <v>283</v>
      </c>
      <c r="G219" t="str">
        <f>_xlfn.XLOOKUP(B219, Properties!A:A, Properties!B:B, FALSE)</f>
        <v>Subotica</v>
      </c>
      <c r="H219" t="str">
        <f>_xlfn.XLOOKUP(C219, Agents!A:A, Agents!B:B, FALSE)</f>
        <v>Ana Markovic</v>
      </c>
      <c r="I219" t="str">
        <f t="shared" si="15"/>
        <v>2024-07</v>
      </c>
      <c r="J219" s="5" t="str">
        <f t="shared" si="16"/>
        <v>Standard</v>
      </c>
      <c r="K219" s="5" t="str">
        <f t="shared" si="17"/>
        <v>Medium</v>
      </c>
      <c r="L219" s="5" t="str">
        <f t="shared" si="18"/>
        <v>No</v>
      </c>
      <c r="M219" s="5" t="str">
        <f t="shared" si="19"/>
        <v>Ok</v>
      </c>
      <c r="N219" s="3">
        <f>_xlfn.XLOOKUP(B219, Properties!A:A, Properties!D:D, FALSE)</f>
        <v>175089</v>
      </c>
    </row>
    <row r="220" spans="1:14" x14ac:dyDescent="0.3">
      <c r="A220">
        <v>357</v>
      </c>
      <c r="B220">
        <v>223</v>
      </c>
      <c r="C220">
        <v>5</v>
      </c>
      <c r="D220" s="3">
        <v>187156</v>
      </c>
      <c r="E220" t="s">
        <v>256</v>
      </c>
      <c r="F220" s="1" t="s">
        <v>340</v>
      </c>
      <c r="G220" t="str">
        <f>_xlfn.XLOOKUP(B220, Properties!A:A, Properties!B:B, FALSE)</f>
        <v>Novi Sad</v>
      </c>
      <c r="H220" t="str">
        <f>_xlfn.XLOOKUP(C220, Agents!A:A, Agents!B:B, FALSE)</f>
        <v>Mina Lukic</v>
      </c>
      <c r="I220" t="str">
        <f t="shared" si="15"/>
        <v>2024-09</v>
      </c>
      <c r="J220" s="5" t="str">
        <f t="shared" si="16"/>
        <v>Standard</v>
      </c>
      <c r="K220" s="5" t="str">
        <f t="shared" si="17"/>
        <v>Medium</v>
      </c>
      <c r="L220" s="5" t="str">
        <f t="shared" si="18"/>
        <v>No</v>
      </c>
      <c r="M220" s="5" t="str">
        <f t="shared" si="19"/>
        <v>Attention Needed</v>
      </c>
      <c r="N220" s="3">
        <f>_xlfn.XLOOKUP(B220, Properties!A:A, Properties!D:D, FALSE)</f>
        <v>33708</v>
      </c>
    </row>
    <row r="221" spans="1:14" x14ac:dyDescent="0.3">
      <c r="A221">
        <v>219</v>
      </c>
      <c r="B221">
        <v>202</v>
      </c>
      <c r="C221">
        <v>10</v>
      </c>
      <c r="D221" s="3">
        <v>186884</v>
      </c>
      <c r="E221" t="s">
        <v>257</v>
      </c>
      <c r="F221" s="1" t="s">
        <v>158</v>
      </c>
      <c r="G221" t="str">
        <f>_xlfn.XLOOKUP(B221, Properties!A:A, Properties!B:B, FALSE)</f>
        <v>Becej</v>
      </c>
      <c r="H221" t="str">
        <f>_xlfn.XLOOKUP(C221, Agents!A:A, Agents!B:B, FALSE)</f>
        <v>Marko Jovic</v>
      </c>
      <c r="I221" t="str">
        <f t="shared" si="15"/>
        <v>2024-10</v>
      </c>
      <c r="J221" s="5" t="str">
        <f t="shared" si="16"/>
        <v>Standard</v>
      </c>
      <c r="K221" s="5" t="str">
        <f t="shared" si="17"/>
        <v>Medium</v>
      </c>
      <c r="L221" s="5" t="str">
        <f t="shared" si="18"/>
        <v>No</v>
      </c>
      <c r="M221" s="5" t="str">
        <f t="shared" si="19"/>
        <v>Attention Needed</v>
      </c>
      <c r="N221" s="3">
        <f>_xlfn.XLOOKUP(B221, Properties!A:A, Properties!D:D, FALSE)</f>
        <v>226732</v>
      </c>
    </row>
    <row r="222" spans="1:14" x14ac:dyDescent="0.3">
      <c r="A222">
        <v>3</v>
      </c>
      <c r="B222">
        <v>227</v>
      </c>
      <c r="C222">
        <v>6</v>
      </c>
      <c r="D222" s="3">
        <v>186842</v>
      </c>
      <c r="E222" t="s">
        <v>257</v>
      </c>
      <c r="F222" s="1" t="s">
        <v>258</v>
      </c>
      <c r="G222" t="str">
        <f>_xlfn.XLOOKUP(B222, Properties!A:A, Properties!B:B, FALSE)</f>
        <v>Belgrade</v>
      </c>
      <c r="H222" t="str">
        <f>_xlfn.XLOOKUP(C222, Agents!A:A, Agents!B:B, FALSE)</f>
        <v>Marko Jovic</v>
      </c>
      <c r="I222" t="str">
        <f t="shared" si="15"/>
        <v>2024-11</v>
      </c>
      <c r="J222" s="5" t="str">
        <f t="shared" si="16"/>
        <v>Standard</v>
      </c>
      <c r="K222" s="5" t="str">
        <f t="shared" si="17"/>
        <v>Medium</v>
      </c>
      <c r="L222" s="5" t="str">
        <f t="shared" si="18"/>
        <v>No</v>
      </c>
      <c r="M222" s="5" t="str">
        <f t="shared" si="19"/>
        <v>Attention Needed</v>
      </c>
      <c r="N222" s="3">
        <f>_xlfn.XLOOKUP(B222, Properties!A:A, Properties!D:D, FALSE)</f>
        <v>153049</v>
      </c>
    </row>
    <row r="223" spans="1:14" x14ac:dyDescent="0.3">
      <c r="A223">
        <v>234</v>
      </c>
      <c r="B223">
        <v>127</v>
      </c>
      <c r="C223">
        <v>5</v>
      </c>
      <c r="D223" s="3">
        <v>186499</v>
      </c>
      <c r="E223" t="s">
        <v>257</v>
      </c>
      <c r="F223" s="1" t="s">
        <v>222</v>
      </c>
      <c r="G223" t="str">
        <f>_xlfn.XLOOKUP(B223, Properties!A:A, Properties!B:B, FALSE)</f>
        <v>Becej</v>
      </c>
      <c r="H223" t="str">
        <f>_xlfn.XLOOKUP(C223, Agents!A:A, Agents!B:B, FALSE)</f>
        <v>Mina Lukic</v>
      </c>
      <c r="I223" t="str">
        <f t="shared" si="15"/>
        <v>2024-04</v>
      </c>
      <c r="J223" s="5" t="str">
        <f t="shared" si="16"/>
        <v>Standard</v>
      </c>
      <c r="K223" s="5" t="str">
        <f t="shared" si="17"/>
        <v>Medium</v>
      </c>
      <c r="L223" s="5" t="str">
        <f t="shared" si="18"/>
        <v>No</v>
      </c>
      <c r="M223" s="5" t="str">
        <f t="shared" si="19"/>
        <v>Attention Needed</v>
      </c>
      <c r="N223" s="3">
        <f>_xlfn.XLOOKUP(B223, Properties!A:A, Properties!D:D, FALSE)</f>
        <v>220983</v>
      </c>
    </row>
    <row r="224" spans="1:14" x14ac:dyDescent="0.3">
      <c r="A224">
        <v>6</v>
      </c>
      <c r="B224">
        <v>293</v>
      </c>
      <c r="C224">
        <v>6</v>
      </c>
      <c r="D224" s="3">
        <v>185122</v>
      </c>
      <c r="E224" t="s">
        <v>257</v>
      </c>
      <c r="F224" s="1" t="s">
        <v>261</v>
      </c>
      <c r="G224" t="str">
        <f>_xlfn.XLOOKUP(B224, Properties!A:A, Properties!B:B, FALSE)</f>
        <v>Subotica</v>
      </c>
      <c r="H224" t="str">
        <f>_xlfn.XLOOKUP(C224, Agents!A:A, Agents!B:B, FALSE)</f>
        <v>Marko Jovic</v>
      </c>
      <c r="I224" t="str">
        <f t="shared" si="15"/>
        <v>2024-12</v>
      </c>
      <c r="J224" s="5" t="str">
        <f t="shared" si="16"/>
        <v>Standard</v>
      </c>
      <c r="K224" s="5" t="str">
        <f t="shared" si="17"/>
        <v>Medium</v>
      </c>
      <c r="L224" s="5" t="str">
        <f t="shared" si="18"/>
        <v>No</v>
      </c>
      <c r="M224" s="5" t="str">
        <f t="shared" si="19"/>
        <v>Attention Needed</v>
      </c>
      <c r="N224" s="3">
        <f>_xlfn.XLOOKUP(B224, Properties!A:A, Properties!D:D, FALSE)</f>
        <v>193383</v>
      </c>
    </row>
    <row r="225" spans="1:14" x14ac:dyDescent="0.3">
      <c r="A225">
        <v>113</v>
      </c>
      <c r="B225">
        <v>71</v>
      </c>
      <c r="C225">
        <v>3</v>
      </c>
      <c r="D225" s="3">
        <v>185080</v>
      </c>
      <c r="E225" t="s">
        <v>259</v>
      </c>
      <c r="F225" s="1" t="s">
        <v>280</v>
      </c>
      <c r="G225" t="str">
        <f>_xlfn.XLOOKUP(B225, Properties!A:A, Properties!B:B, FALSE)</f>
        <v>Nis</v>
      </c>
      <c r="H225" t="str">
        <f>_xlfn.XLOOKUP(C225, Agents!A:A, Agents!B:B, FALSE)</f>
        <v>Ivan Stankovic</v>
      </c>
      <c r="I225" t="str">
        <f t="shared" si="15"/>
        <v>2025-03</v>
      </c>
      <c r="J225" s="5" t="str">
        <f t="shared" si="16"/>
        <v>Standard</v>
      </c>
      <c r="K225" s="5" t="str">
        <f t="shared" si="17"/>
        <v>Medium</v>
      </c>
      <c r="L225" s="5" t="str">
        <f t="shared" si="18"/>
        <v>No</v>
      </c>
      <c r="M225" s="5" t="str">
        <f t="shared" si="19"/>
        <v>Ok</v>
      </c>
      <c r="N225" s="3">
        <f>_xlfn.XLOOKUP(B225, Properties!A:A, Properties!D:D, FALSE)</f>
        <v>54448</v>
      </c>
    </row>
    <row r="226" spans="1:14" x14ac:dyDescent="0.3">
      <c r="A226">
        <v>158</v>
      </c>
      <c r="B226">
        <v>53</v>
      </c>
      <c r="C226">
        <v>2</v>
      </c>
      <c r="D226" s="3">
        <v>185000</v>
      </c>
      <c r="E226" t="s">
        <v>256</v>
      </c>
      <c r="F226" s="1" t="s">
        <v>322</v>
      </c>
      <c r="G226" t="str">
        <f>_xlfn.XLOOKUP(B226, Properties!A:A, Properties!B:B, FALSE)</f>
        <v>Nis</v>
      </c>
      <c r="H226" t="str">
        <f>_xlfn.XLOOKUP(C226, Agents!A:A, Agents!B:B, FALSE)</f>
        <v>Jelena Petrovic</v>
      </c>
      <c r="I226" t="str">
        <f t="shared" si="15"/>
        <v>2024-06</v>
      </c>
      <c r="J226" s="5" t="str">
        <f t="shared" si="16"/>
        <v>Standard</v>
      </c>
      <c r="K226" s="5" t="str">
        <f t="shared" si="17"/>
        <v>Medium</v>
      </c>
      <c r="L226" s="5" t="str">
        <f t="shared" si="18"/>
        <v>No</v>
      </c>
      <c r="M226" s="5" t="str">
        <f t="shared" si="19"/>
        <v>Attention Needed</v>
      </c>
      <c r="N226" s="3">
        <f>_xlfn.XLOOKUP(B226, Properties!A:A, Properties!D:D, FALSE)</f>
        <v>61720</v>
      </c>
    </row>
    <row r="227" spans="1:14" x14ac:dyDescent="0.3">
      <c r="A227">
        <v>264</v>
      </c>
      <c r="B227">
        <v>160</v>
      </c>
      <c r="C227">
        <v>2</v>
      </c>
      <c r="D227" s="3">
        <v>184684</v>
      </c>
      <c r="E227" t="s">
        <v>257</v>
      </c>
      <c r="F227" s="1" t="s">
        <v>321</v>
      </c>
      <c r="G227" t="str">
        <f>_xlfn.XLOOKUP(B227, Properties!A:A, Properties!B:B, FALSE)</f>
        <v>Subotica</v>
      </c>
      <c r="H227" t="str">
        <f>_xlfn.XLOOKUP(C227, Agents!A:A, Agents!B:B, FALSE)</f>
        <v>Jelena Petrovic</v>
      </c>
      <c r="I227" t="str">
        <f t="shared" si="15"/>
        <v>2024-07</v>
      </c>
      <c r="J227" s="5" t="str">
        <f t="shared" si="16"/>
        <v>Standard</v>
      </c>
      <c r="K227" s="5" t="str">
        <f t="shared" si="17"/>
        <v>Medium</v>
      </c>
      <c r="L227" s="5" t="str">
        <f t="shared" si="18"/>
        <v>No</v>
      </c>
      <c r="M227" s="5" t="str">
        <f t="shared" si="19"/>
        <v>Attention Needed</v>
      </c>
      <c r="N227" s="3">
        <f>_xlfn.XLOOKUP(B227, Properties!A:A, Properties!D:D, FALSE)</f>
        <v>101228</v>
      </c>
    </row>
    <row r="228" spans="1:14" x14ac:dyDescent="0.3">
      <c r="A228">
        <v>157</v>
      </c>
      <c r="B228">
        <v>221</v>
      </c>
      <c r="C228">
        <v>10</v>
      </c>
      <c r="D228" s="3">
        <v>184018</v>
      </c>
      <c r="E228" t="s">
        <v>259</v>
      </c>
      <c r="F228" s="1" t="s">
        <v>215</v>
      </c>
      <c r="G228" t="str">
        <f>_xlfn.XLOOKUP(B228, Properties!A:A, Properties!B:B, FALSE)</f>
        <v>Nis</v>
      </c>
      <c r="H228" t="str">
        <f>_xlfn.XLOOKUP(C228, Agents!A:A, Agents!B:B, FALSE)</f>
        <v>Marko Jovic</v>
      </c>
      <c r="I228" t="str">
        <f t="shared" si="15"/>
        <v>2024-06</v>
      </c>
      <c r="J228" s="5" t="str">
        <f t="shared" si="16"/>
        <v>Standard</v>
      </c>
      <c r="K228" s="5" t="str">
        <f t="shared" si="17"/>
        <v>Medium</v>
      </c>
      <c r="L228" s="5" t="str">
        <f t="shared" si="18"/>
        <v>No</v>
      </c>
      <c r="M228" s="5" t="str">
        <f t="shared" si="19"/>
        <v>Ok</v>
      </c>
      <c r="N228" s="3">
        <f>_xlfn.XLOOKUP(B228, Properties!A:A, Properties!D:D, FALSE)</f>
        <v>56352</v>
      </c>
    </row>
    <row r="229" spans="1:14" x14ac:dyDescent="0.3">
      <c r="A229">
        <v>238</v>
      </c>
      <c r="B229">
        <v>203</v>
      </c>
      <c r="C229">
        <v>6</v>
      </c>
      <c r="D229" s="3">
        <v>182280</v>
      </c>
      <c r="E229" t="s">
        <v>259</v>
      </c>
      <c r="F229" s="1" t="s">
        <v>358</v>
      </c>
      <c r="G229" t="str">
        <f>_xlfn.XLOOKUP(B229, Properties!A:A, Properties!B:B, FALSE)</f>
        <v>Nis</v>
      </c>
      <c r="H229" t="str">
        <f>_xlfn.XLOOKUP(C229, Agents!A:A, Agents!B:B, FALSE)</f>
        <v>Marko Jovic</v>
      </c>
      <c r="I229" t="str">
        <f t="shared" si="15"/>
        <v>2024-01</v>
      </c>
      <c r="J229" s="5" t="str">
        <f t="shared" si="16"/>
        <v>Standard</v>
      </c>
      <c r="K229" s="5" t="str">
        <f t="shared" si="17"/>
        <v>Medium</v>
      </c>
      <c r="L229" s="5" t="str">
        <f t="shared" si="18"/>
        <v>No</v>
      </c>
      <c r="M229" s="5" t="str">
        <f t="shared" si="19"/>
        <v>Ok</v>
      </c>
      <c r="N229" s="3">
        <f>_xlfn.XLOOKUP(B229, Properties!A:A, Properties!D:D, FALSE)</f>
        <v>118184</v>
      </c>
    </row>
    <row r="230" spans="1:14" x14ac:dyDescent="0.3">
      <c r="A230">
        <v>250</v>
      </c>
      <c r="B230">
        <v>204</v>
      </c>
      <c r="C230">
        <v>8</v>
      </c>
      <c r="D230" s="3">
        <v>181764</v>
      </c>
      <c r="E230" t="s">
        <v>259</v>
      </c>
      <c r="F230" s="1" t="s">
        <v>362</v>
      </c>
      <c r="G230" t="str">
        <f>_xlfn.XLOOKUP(B230, Properties!A:A, Properties!B:B, FALSE)</f>
        <v>Becej</v>
      </c>
      <c r="H230" t="str">
        <f>_xlfn.XLOOKUP(C230, Agents!A:A, Agents!B:B, FALSE)</f>
        <v>Mina Lukic</v>
      </c>
      <c r="I230" t="str">
        <f t="shared" si="15"/>
        <v>2025-03</v>
      </c>
      <c r="J230" s="5" t="str">
        <f t="shared" si="16"/>
        <v>Standard</v>
      </c>
      <c r="K230" s="5" t="str">
        <f t="shared" si="17"/>
        <v>Medium</v>
      </c>
      <c r="L230" s="5" t="str">
        <f t="shared" si="18"/>
        <v>No</v>
      </c>
      <c r="M230" s="5" t="str">
        <f t="shared" si="19"/>
        <v>Ok</v>
      </c>
      <c r="N230" s="3">
        <f>_xlfn.XLOOKUP(B230, Properties!A:A, Properties!D:D, FALSE)</f>
        <v>77668</v>
      </c>
    </row>
    <row r="231" spans="1:14" x14ac:dyDescent="0.3">
      <c r="A231">
        <v>291</v>
      </c>
      <c r="B231">
        <v>29</v>
      </c>
      <c r="C231">
        <v>3</v>
      </c>
      <c r="D231" s="3">
        <v>181657</v>
      </c>
      <c r="E231" t="s">
        <v>257</v>
      </c>
      <c r="F231" s="1" t="s">
        <v>206</v>
      </c>
      <c r="G231" t="str">
        <f>_xlfn.XLOOKUP(B231, Properties!A:A, Properties!B:B, FALSE)</f>
        <v>Nis</v>
      </c>
      <c r="H231" t="str">
        <f>_xlfn.XLOOKUP(C231, Agents!A:A, Agents!B:B, FALSE)</f>
        <v>Ivan Stankovic</v>
      </c>
      <c r="I231" t="str">
        <f t="shared" si="15"/>
        <v>2024-04</v>
      </c>
      <c r="J231" s="5" t="str">
        <f t="shared" si="16"/>
        <v>Standard</v>
      </c>
      <c r="K231" s="5" t="str">
        <f t="shared" si="17"/>
        <v>Medium</v>
      </c>
      <c r="L231" s="5" t="str">
        <f t="shared" si="18"/>
        <v>No</v>
      </c>
      <c r="M231" s="5" t="str">
        <f t="shared" si="19"/>
        <v>Attention Needed</v>
      </c>
      <c r="N231" s="3">
        <f>_xlfn.XLOOKUP(B231, Properties!A:A, Properties!D:D, FALSE)</f>
        <v>225825</v>
      </c>
    </row>
    <row r="232" spans="1:14" x14ac:dyDescent="0.3">
      <c r="A232">
        <v>96</v>
      </c>
      <c r="B232">
        <v>20</v>
      </c>
      <c r="C232">
        <v>1</v>
      </c>
      <c r="D232" s="3">
        <v>180511</v>
      </c>
      <c r="E232" t="s">
        <v>256</v>
      </c>
      <c r="F232" s="1" t="s">
        <v>293</v>
      </c>
      <c r="G232" t="str">
        <f>_xlfn.XLOOKUP(B232, Properties!A:A, Properties!B:B, FALSE)</f>
        <v>Novi Sad</v>
      </c>
      <c r="H232" t="str">
        <f>_xlfn.XLOOKUP(C232, Agents!A:A, Agents!B:B, FALSE)</f>
        <v>Ana Markovic</v>
      </c>
      <c r="I232" t="str">
        <f t="shared" si="15"/>
        <v>2024-02</v>
      </c>
      <c r="J232" s="5" t="str">
        <f t="shared" si="16"/>
        <v>Standard</v>
      </c>
      <c r="K232" s="5" t="str">
        <f t="shared" si="17"/>
        <v>Medium</v>
      </c>
      <c r="L232" s="5" t="str">
        <f t="shared" si="18"/>
        <v>No</v>
      </c>
      <c r="M232" s="5" t="str">
        <f t="shared" si="19"/>
        <v>Attention Needed</v>
      </c>
      <c r="N232" s="3">
        <f>_xlfn.XLOOKUP(B232, Properties!A:A, Properties!D:D, FALSE)</f>
        <v>213977</v>
      </c>
    </row>
    <row r="233" spans="1:14" x14ac:dyDescent="0.3">
      <c r="A233">
        <v>131</v>
      </c>
      <c r="B233">
        <v>75</v>
      </c>
      <c r="C233">
        <v>3</v>
      </c>
      <c r="D233" s="3">
        <v>180407</v>
      </c>
      <c r="E233" t="s">
        <v>259</v>
      </c>
      <c r="F233" s="1" t="s">
        <v>313</v>
      </c>
      <c r="G233" t="str">
        <f>_xlfn.XLOOKUP(B233, Properties!A:A, Properties!B:B, FALSE)</f>
        <v>Becej</v>
      </c>
      <c r="H233" t="str">
        <f>_xlfn.XLOOKUP(C233, Agents!A:A, Agents!B:B, FALSE)</f>
        <v>Ivan Stankovic</v>
      </c>
      <c r="I233" t="str">
        <f t="shared" si="15"/>
        <v>2025-04</v>
      </c>
      <c r="J233" s="5" t="str">
        <f t="shared" si="16"/>
        <v>Standard</v>
      </c>
      <c r="K233" s="5" t="str">
        <f t="shared" si="17"/>
        <v>Medium</v>
      </c>
      <c r="L233" s="5" t="str">
        <f t="shared" si="18"/>
        <v>No</v>
      </c>
      <c r="M233" s="5" t="str">
        <f t="shared" si="19"/>
        <v>Ok</v>
      </c>
      <c r="N233" s="3">
        <f>_xlfn.XLOOKUP(B233, Properties!A:A, Properties!D:D, FALSE)</f>
        <v>235539</v>
      </c>
    </row>
    <row r="234" spans="1:14" x14ac:dyDescent="0.3">
      <c r="A234">
        <v>459</v>
      </c>
      <c r="B234">
        <v>31</v>
      </c>
      <c r="C234">
        <v>7</v>
      </c>
      <c r="D234" s="3">
        <v>180202</v>
      </c>
      <c r="E234" t="s">
        <v>257</v>
      </c>
      <c r="F234" s="1" t="s">
        <v>25</v>
      </c>
      <c r="G234" t="str">
        <f>_xlfn.XLOOKUP(B234, Properties!A:A, Properties!B:B, FALSE)</f>
        <v>Novi Sad</v>
      </c>
      <c r="H234" t="str">
        <f>_xlfn.XLOOKUP(C234, Agents!A:A, Agents!B:B, FALSE)</f>
        <v>Ana Markovic</v>
      </c>
      <c r="I234" t="str">
        <f t="shared" si="15"/>
        <v>2024-11</v>
      </c>
      <c r="J234" s="5" t="str">
        <f t="shared" si="16"/>
        <v>Standard</v>
      </c>
      <c r="K234" s="5" t="str">
        <f t="shared" si="17"/>
        <v>Medium</v>
      </c>
      <c r="L234" s="5" t="str">
        <f t="shared" si="18"/>
        <v>No</v>
      </c>
      <c r="M234" s="5" t="str">
        <f t="shared" si="19"/>
        <v>Attention Needed</v>
      </c>
      <c r="N234" s="3">
        <f>_xlfn.XLOOKUP(B234, Properties!A:A, Properties!D:D, FALSE)</f>
        <v>53831</v>
      </c>
    </row>
    <row r="235" spans="1:14" x14ac:dyDescent="0.3">
      <c r="A235">
        <v>171</v>
      </c>
      <c r="B235">
        <v>229</v>
      </c>
      <c r="C235">
        <v>4</v>
      </c>
      <c r="D235" s="3">
        <v>179724</v>
      </c>
      <c r="E235" t="s">
        <v>257</v>
      </c>
      <c r="F235" s="1" t="s">
        <v>240</v>
      </c>
      <c r="G235" t="str">
        <f>_xlfn.XLOOKUP(B235, Properties!A:A, Properties!B:B, FALSE)</f>
        <v>Belgrade</v>
      </c>
      <c r="H235" t="str">
        <f>_xlfn.XLOOKUP(C235, Agents!A:A, Agents!B:B, FALSE)</f>
        <v>Marko Jovic</v>
      </c>
      <c r="I235" t="str">
        <f t="shared" si="15"/>
        <v>2024-12</v>
      </c>
      <c r="J235" s="5" t="str">
        <f t="shared" si="16"/>
        <v>Standard</v>
      </c>
      <c r="K235" s="5" t="str">
        <f t="shared" si="17"/>
        <v>Medium</v>
      </c>
      <c r="L235" s="5" t="str">
        <f t="shared" si="18"/>
        <v>No</v>
      </c>
      <c r="M235" s="5" t="str">
        <f t="shared" si="19"/>
        <v>Attention Needed</v>
      </c>
      <c r="N235" s="3">
        <f>_xlfn.XLOOKUP(B235, Properties!A:A, Properties!D:D, FALSE)</f>
        <v>155233</v>
      </c>
    </row>
    <row r="236" spans="1:14" x14ac:dyDescent="0.3">
      <c r="A236">
        <v>118</v>
      </c>
      <c r="B236">
        <v>122</v>
      </c>
      <c r="C236">
        <v>8</v>
      </c>
      <c r="D236" s="3">
        <v>179384</v>
      </c>
      <c r="E236" t="s">
        <v>257</v>
      </c>
      <c r="F236" s="1" t="s">
        <v>307</v>
      </c>
      <c r="G236" t="str">
        <f>_xlfn.XLOOKUP(B236, Properties!A:A, Properties!B:B, FALSE)</f>
        <v>Belgrade</v>
      </c>
      <c r="H236" t="str">
        <f>_xlfn.XLOOKUP(C236, Agents!A:A, Agents!B:B, FALSE)</f>
        <v>Mina Lukic</v>
      </c>
      <c r="I236" t="str">
        <f t="shared" si="15"/>
        <v>2025-01</v>
      </c>
      <c r="J236" s="5" t="str">
        <f t="shared" si="16"/>
        <v>Standard</v>
      </c>
      <c r="K236" s="5" t="str">
        <f t="shared" si="17"/>
        <v>Medium</v>
      </c>
      <c r="L236" s="5" t="str">
        <f t="shared" si="18"/>
        <v>No</v>
      </c>
      <c r="M236" s="5" t="str">
        <f t="shared" si="19"/>
        <v>Attention Needed</v>
      </c>
      <c r="N236" s="3">
        <f>_xlfn.XLOOKUP(B236, Properties!A:A, Properties!D:D, FALSE)</f>
        <v>122050</v>
      </c>
    </row>
    <row r="237" spans="1:14" x14ac:dyDescent="0.3">
      <c r="A237">
        <v>451</v>
      </c>
      <c r="B237">
        <v>44</v>
      </c>
      <c r="C237">
        <v>4</v>
      </c>
      <c r="D237" s="3">
        <v>179380</v>
      </c>
      <c r="E237" t="s">
        <v>257</v>
      </c>
      <c r="F237" s="1" t="s">
        <v>145</v>
      </c>
      <c r="G237" t="str">
        <f>_xlfn.XLOOKUP(B237, Properties!A:A, Properties!B:B, FALSE)</f>
        <v>Becej</v>
      </c>
      <c r="H237" t="str">
        <f>_xlfn.XLOOKUP(C237, Agents!A:A, Agents!B:B, FALSE)</f>
        <v>Marko Jovic</v>
      </c>
      <c r="I237" t="str">
        <f t="shared" si="15"/>
        <v>2025-02</v>
      </c>
      <c r="J237" s="5" t="str">
        <f t="shared" si="16"/>
        <v>Standard</v>
      </c>
      <c r="K237" s="5" t="str">
        <f t="shared" si="17"/>
        <v>Medium</v>
      </c>
      <c r="L237" s="5" t="str">
        <f t="shared" si="18"/>
        <v>No</v>
      </c>
      <c r="M237" s="5" t="str">
        <f t="shared" si="19"/>
        <v>Attention Needed</v>
      </c>
      <c r="N237" s="3">
        <f>_xlfn.XLOOKUP(B237, Properties!A:A, Properties!D:D, FALSE)</f>
        <v>59325</v>
      </c>
    </row>
    <row r="238" spans="1:14" x14ac:dyDescent="0.3">
      <c r="A238">
        <v>309</v>
      </c>
      <c r="B238">
        <v>123</v>
      </c>
      <c r="C238">
        <v>9</v>
      </c>
      <c r="D238" s="3">
        <v>178404</v>
      </c>
      <c r="E238" t="s">
        <v>256</v>
      </c>
      <c r="F238" s="1" t="s">
        <v>21</v>
      </c>
      <c r="G238" t="str">
        <f>_xlfn.XLOOKUP(B238, Properties!A:A, Properties!B:B, FALSE)</f>
        <v>Nis</v>
      </c>
      <c r="H238" t="str">
        <f>_xlfn.XLOOKUP(C238, Agents!A:A, Agents!B:B, FALSE)</f>
        <v>Ivan Stankovic</v>
      </c>
      <c r="I238" t="str">
        <f t="shared" si="15"/>
        <v>2024-07</v>
      </c>
      <c r="J238" s="5" t="str">
        <f t="shared" si="16"/>
        <v>Standard</v>
      </c>
      <c r="K238" s="5" t="str">
        <f t="shared" si="17"/>
        <v>Medium</v>
      </c>
      <c r="L238" s="5" t="str">
        <f t="shared" si="18"/>
        <v>No</v>
      </c>
      <c r="M238" s="5" t="str">
        <f t="shared" si="19"/>
        <v>Attention Needed</v>
      </c>
      <c r="N238" s="3">
        <f>_xlfn.XLOOKUP(B238, Properties!A:A, Properties!D:D, FALSE)</f>
        <v>208131</v>
      </c>
    </row>
    <row r="239" spans="1:14" x14ac:dyDescent="0.3">
      <c r="A239">
        <v>481</v>
      </c>
      <c r="B239">
        <v>206</v>
      </c>
      <c r="C239">
        <v>2</v>
      </c>
      <c r="D239" s="3">
        <v>178010</v>
      </c>
      <c r="E239" t="s">
        <v>256</v>
      </c>
      <c r="F239" s="1" t="s">
        <v>300</v>
      </c>
      <c r="G239" t="str">
        <f>_xlfn.XLOOKUP(B239, Properties!A:A, Properties!B:B, FALSE)</f>
        <v>Subotica</v>
      </c>
      <c r="H239" t="str">
        <f>_xlfn.XLOOKUP(C239, Agents!A:A, Agents!B:B, FALSE)</f>
        <v>Jelena Petrovic</v>
      </c>
      <c r="I239" t="str">
        <f t="shared" si="15"/>
        <v>2025-01</v>
      </c>
      <c r="J239" s="5" t="str">
        <f t="shared" si="16"/>
        <v>Standard</v>
      </c>
      <c r="K239" s="5" t="str">
        <f t="shared" si="17"/>
        <v>Medium</v>
      </c>
      <c r="L239" s="5" t="str">
        <f t="shared" si="18"/>
        <v>No</v>
      </c>
      <c r="M239" s="5" t="str">
        <f t="shared" si="19"/>
        <v>Attention Needed</v>
      </c>
      <c r="N239" s="3">
        <f>_xlfn.XLOOKUP(B239, Properties!A:A, Properties!D:D, FALSE)</f>
        <v>186278</v>
      </c>
    </row>
    <row r="240" spans="1:14" x14ac:dyDescent="0.3">
      <c r="A240">
        <v>489</v>
      </c>
      <c r="B240">
        <v>252</v>
      </c>
      <c r="C240">
        <v>1</v>
      </c>
      <c r="D240" s="3">
        <v>176709</v>
      </c>
      <c r="E240" t="s">
        <v>259</v>
      </c>
      <c r="F240" s="1" t="s">
        <v>421</v>
      </c>
      <c r="G240" t="str">
        <f>_xlfn.XLOOKUP(B240, Properties!A:A, Properties!B:B, FALSE)</f>
        <v>Nis</v>
      </c>
      <c r="H240" t="str">
        <f>_xlfn.XLOOKUP(C240, Agents!A:A, Agents!B:B, FALSE)</f>
        <v>Ana Markovic</v>
      </c>
      <c r="I240" t="str">
        <f t="shared" si="15"/>
        <v>2024-02</v>
      </c>
      <c r="J240" s="5" t="str">
        <f t="shared" si="16"/>
        <v>Standard</v>
      </c>
      <c r="K240" s="5" t="str">
        <f t="shared" si="17"/>
        <v>Medium</v>
      </c>
      <c r="L240" s="5" t="str">
        <f t="shared" si="18"/>
        <v>No</v>
      </c>
      <c r="M240" s="5" t="str">
        <f t="shared" si="19"/>
        <v>Ok</v>
      </c>
      <c r="N240" s="3">
        <f>_xlfn.XLOOKUP(B240, Properties!A:A, Properties!D:D, FALSE)</f>
        <v>143253</v>
      </c>
    </row>
    <row r="241" spans="1:14" x14ac:dyDescent="0.3">
      <c r="A241">
        <v>62</v>
      </c>
      <c r="B241">
        <v>285</v>
      </c>
      <c r="C241">
        <v>6</v>
      </c>
      <c r="D241" s="3">
        <v>176049</v>
      </c>
      <c r="E241" t="s">
        <v>259</v>
      </c>
      <c r="F241" s="1" t="s">
        <v>281</v>
      </c>
      <c r="G241" t="str">
        <f>_xlfn.XLOOKUP(B241, Properties!A:A, Properties!B:B, FALSE)</f>
        <v>Nis</v>
      </c>
      <c r="H241" t="str">
        <f>_xlfn.XLOOKUP(C241, Agents!A:A, Agents!B:B, FALSE)</f>
        <v>Marko Jovic</v>
      </c>
      <c r="I241" t="str">
        <f t="shared" si="15"/>
        <v>2024-10</v>
      </c>
      <c r="J241" s="5" t="str">
        <f t="shared" si="16"/>
        <v>Standard</v>
      </c>
      <c r="K241" s="5" t="str">
        <f t="shared" si="17"/>
        <v>Medium</v>
      </c>
      <c r="L241" s="5" t="str">
        <f t="shared" si="18"/>
        <v>No</v>
      </c>
      <c r="M241" s="5" t="str">
        <f t="shared" si="19"/>
        <v>Ok</v>
      </c>
      <c r="N241" s="3">
        <f>_xlfn.XLOOKUP(B241, Properties!A:A, Properties!D:D, FALSE)</f>
        <v>91226</v>
      </c>
    </row>
    <row r="242" spans="1:14" x14ac:dyDescent="0.3">
      <c r="A242">
        <v>425</v>
      </c>
      <c r="B242">
        <v>48</v>
      </c>
      <c r="C242">
        <v>7</v>
      </c>
      <c r="D242" s="3">
        <v>175870</v>
      </c>
      <c r="E242" t="s">
        <v>257</v>
      </c>
      <c r="F242" s="1" t="s">
        <v>240</v>
      </c>
      <c r="G242" t="str">
        <f>_xlfn.XLOOKUP(B242, Properties!A:A, Properties!B:B, FALSE)</f>
        <v>Novi Sad</v>
      </c>
      <c r="H242" t="str">
        <f>_xlfn.XLOOKUP(C242, Agents!A:A, Agents!B:B, FALSE)</f>
        <v>Ana Markovic</v>
      </c>
      <c r="I242" t="str">
        <f t="shared" si="15"/>
        <v>2024-12</v>
      </c>
      <c r="J242" s="5" t="str">
        <f t="shared" si="16"/>
        <v>Standard</v>
      </c>
      <c r="K242" s="5" t="str">
        <f t="shared" si="17"/>
        <v>Medium</v>
      </c>
      <c r="L242" s="5" t="str">
        <f t="shared" si="18"/>
        <v>No</v>
      </c>
      <c r="M242" s="5" t="str">
        <f t="shared" si="19"/>
        <v>Attention Needed</v>
      </c>
      <c r="N242" s="3">
        <f>_xlfn.XLOOKUP(B242, Properties!A:A, Properties!D:D, FALSE)</f>
        <v>202949</v>
      </c>
    </row>
    <row r="243" spans="1:14" x14ac:dyDescent="0.3">
      <c r="A243">
        <v>47</v>
      </c>
      <c r="B243">
        <v>76</v>
      </c>
      <c r="C243">
        <v>2</v>
      </c>
      <c r="D243" s="3">
        <v>174187</v>
      </c>
      <c r="E243" t="s">
        <v>259</v>
      </c>
      <c r="F243" s="1" t="s">
        <v>275</v>
      </c>
      <c r="G243" t="str">
        <f>_xlfn.XLOOKUP(B243, Properties!A:A, Properties!B:B, FALSE)</f>
        <v>Becej</v>
      </c>
      <c r="H243" t="str">
        <f>_xlfn.XLOOKUP(C243, Agents!A:A, Agents!B:B, FALSE)</f>
        <v>Jelena Petrovic</v>
      </c>
      <c r="I243" t="str">
        <f t="shared" si="15"/>
        <v>2024-11</v>
      </c>
      <c r="J243" s="5" t="str">
        <f t="shared" si="16"/>
        <v>Standard</v>
      </c>
      <c r="K243" s="5" t="str">
        <f t="shared" si="17"/>
        <v>Medium</v>
      </c>
      <c r="L243" s="5" t="str">
        <f t="shared" si="18"/>
        <v>No</v>
      </c>
      <c r="M243" s="5" t="str">
        <f t="shared" si="19"/>
        <v>Ok</v>
      </c>
      <c r="N243" s="3">
        <f>_xlfn.XLOOKUP(B243, Properties!A:A, Properties!D:D, FALSE)</f>
        <v>140888</v>
      </c>
    </row>
    <row r="244" spans="1:14" x14ac:dyDescent="0.3">
      <c r="A244">
        <v>408</v>
      </c>
      <c r="B244">
        <v>113</v>
      </c>
      <c r="C244">
        <v>5</v>
      </c>
      <c r="D244" s="3">
        <v>174102</v>
      </c>
      <c r="E244" t="s">
        <v>259</v>
      </c>
      <c r="F244" s="1" t="s">
        <v>222</v>
      </c>
      <c r="G244" t="str">
        <f>_xlfn.XLOOKUP(B244, Properties!A:A, Properties!B:B, FALSE)</f>
        <v>Novi Sad</v>
      </c>
      <c r="H244" t="str">
        <f>_xlfn.XLOOKUP(C244, Agents!A:A, Agents!B:B, FALSE)</f>
        <v>Mina Lukic</v>
      </c>
      <c r="I244" t="str">
        <f t="shared" si="15"/>
        <v>2024-04</v>
      </c>
      <c r="J244" s="5" t="str">
        <f t="shared" si="16"/>
        <v>Standard</v>
      </c>
      <c r="K244" s="5" t="str">
        <f t="shared" si="17"/>
        <v>Medium</v>
      </c>
      <c r="L244" s="5" t="str">
        <f t="shared" si="18"/>
        <v>No</v>
      </c>
      <c r="M244" s="5" t="str">
        <f t="shared" si="19"/>
        <v>Ok</v>
      </c>
      <c r="N244" s="3">
        <f>_xlfn.XLOOKUP(B244, Properties!A:A, Properties!D:D, FALSE)</f>
        <v>72598</v>
      </c>
    </row>
    <row r="245" spans="1:14" x14ac:dyDescent="0.3">
      <c r="A245">
        <v>161</v>
      </c>
      <c r="B245">
        <v>181</v>
      </c>
      <c r="C245">
        <v>10</v>
      </c>
      <c r="D245" s="3">
        <v>173946</v>
      </c>
      <c r="E245" t="s">
        <v>256</v>
      </c>
      <c r="F245" s="1" t="s">
        <v>258</v>
      </c>
      <c r="G245" t="str">
        <f>_xlfn.XLOOKUP(B245, Properties!A:A, Properties!B:B, FALSE)</f>
        <v>Belgrade</v>
      </c>
      <c r="H245" t="str">
        <f>_xlfn.XLOOKUP(C245, Agents!A:A, Agents!B:B, FALSE)</f>
        <v>Marko Jovic</v>
      </c>
      <c r="I245" t="str">
        <f t="shared" si="15"/>
        <v>2024-11</v>
      </c>
      <c r="J245" s="5" t="str">
        <f t="shared" si="16"/>
        <v>Standard</v>
      </c>
      <c r="K245" s="5" t="str">
        <f t="shared" si="17"/>
        <v>Medium</v>
      </c>
      <c r="L245" s="5" t="str">
        <f t="shared" si="18"/>
        <v>No</v>
      </c>
      <c r="M245" s="5" t="str">
        <f t="shared" si="19"/>
        <v>Attention Needed</v>
      </c>
      <c r="N245" s="3">
        <f>_xlfn.XLOOKUP(B245, Properties!A:A, Properties!D:D, FALSE)</f>
        <v>88778</v>
      </c>
    </row>
    <row r="246" spans="1:14" x14ac:dyDescent="0.3">
      <c r="A246">
        <v>342</v>
      </c>
      <c r="B246">
        <v>204</v>
      </c>
      <c r="C246">
        <v>6</v>
      </c>
      <c r="D246" s="3">
        <v>173302</v>
      </c>
      <c r="E246" t="s">
        <v>259</v>
      </c>
      <c r="F246" s="1" t="s">
        <v>68</v>
      </c>
      <c r="G246" t="str">
        <f>_xlfn.XLOOKUP(B246, Properties!A:A, Properties!B:B, FALSE)</f>
        <v>Becej</v>
      </c>
      <c r="H246" t="str">
        <f>_xlfn.XLOOKUP(C246, Agents!A:A, Agents!B:B, FALSE)</f>
        <v>Marko Jovic</v>
      </c>
      <c r="I246" t="str">
        <f t="shared" si="15"/>
        <v>2025-02</v>
      </c>
      <c r="J246" s="5" t="str">
        <f t="shared" si="16"/>
        <v>Standard</v>
      </c>
      <c r="K246" s="5" t="str">
        <f t="shared" si="17"/>
        <v>Medium</v>
      </c>
      <c r="L246" s="5" t="str">
        <f t="shared" si="18"/>
        <v>No</v>
      </c>
      <c r="M246" s="5" t="str">
        <f t="shared" si="19"/>
        <v>Ok</v>
      </c>
      <c r="N246" s="3">
        <f>_xlfn.XLOOKUP(B246, Properties!A:A, Properties!D:D, FALSE)</f>
        <v>77668</v>
      </c>
    </row>
    <row r="247" spans="1:14" x14ac:dyDescent="0.3">
      <c r="A247">
        <v>64</v>
      </c>
      <c r="B247">
        <v>137</v>
      </c>
      <c r="C247">
        <v>1</v>
      </c>
      <c r="D247" s="3">
        <v>173272</v>
      </c>
      <c r="E247" t="s">
        <v>259</v>
      </c>
      <c r="F247" s="1" t="s">
        <v>183</v>
      </c>
      <c r="G247" t="str">
        <f>_xlfn.XLOOKUP(B247, Properties!A:A, Properties!B:B, FALSE)</f>
        <v>Subotica</v>
      </c>
      <c r="H247" t="str">
        <f>_xlfn.XLOOKUP(C247, Agents!A:A, Agents!B:B, FALSE)</f>
        <v>Ana Markovic</v>
      </c>
      <c r="I247" t="str">
        <f t="shared" si="15"/>
        <v>2024-12</v>
      </c>
      <c r="J247" s="5" t="str">
        <f t="shared" si="16"/>
        <v>Standard</v>
      </c>
      <c r="K247" s="5" t="str">
        <f t="shared" si="17"/>
        <v>Medium</v>
      </c>
      <c r="L247" s="5" t="str">
        <f t="shared" si="18"/>
        <v>No</v>
      </c>
      <c r="M247" s="5" t="str">
        <f t="shared" si="19"/>
        <v>Ok</v>
      </c>
      <c r="N247" s="3">
        <f>_xlfn.XLOOKUP(B247, Properties!A:A, Properties!D:D, FALSE)</f>
        <v>173638</v>
      </c>
    </row>
    <row r="248" spans="1:14" x14ac:dyDescent="0.3">
      <c r="A248">
        <v>253</v>
      </c>
      <c r="B248">
        <v>69</v>
      </c>
      <c r="C248">
        <v>9</v>
      </c>
      <c r="D248" s="3">
        <v>173045</v>
      </c>
      <c r="E248" t="s">
        <v>256</v>
      </c>
      <c r="F248" s="1" t="s">
        <v>26</v>
      </c>
      <c r="G248" t="str">
        <f>_xlfn.XLOOKUP(B248, Properties!A:A, Properties!B:B, FALSE)</f>
        <v>Belgrade</v>
      </c>
      <c r="H248" t="str">
        <f>_xlfn.XLOOKUP(C248, Agents!A:A, Agents!B:B, FALSE)</f>
        <v>Ivan Stankovic</v>
      </c>
      <c r="I248" t="str">
        <f t="shared" si="15"/>
        <v>2024-04</v>
      </c>
      <c r="J248" s="5" t="str">
        <f t="shared" si="16"/>
        <v>Standard</v>
      </c>
      <c r="K248" s="5" t="str">
        <f t="shared" si="17"/>
        <v>Medium</v>
      </c>
      <c r="L248" s="5" t="str">
        <f t="shared" si="18"/>
        <v>No</v>
      </c>
      <c r="M248" s="5" t="str">
        <f t="shared" si="19"/>
        <v>Attention Needed</v>
      </c>
      <c r="N248" s="3">
        <f>_xlfn.XLOOKUP(B248, Properties!A:A, Properties!D:D, FALSE)</f>
        <v>241818</v>
      </c>
    </row>
    <row r="249" spans="1:14" x14ac:dyDescent="0.3">
      <c r="A249">
        <v>495</v>
      </c>
      <c r="B249">
        <v>168</v>
      </c>
      <c r="C249">
        <v>6</v>
      </c>
      <c r="D249" s="3">
        <v>172583</v>
      </c>
      <c r="E249" t="s">
        <v>256</v>
      </c>
      <c r="F249" s="1" t="s">
        <v>206</v>
      </c>
      <c r="G249" t="str">
        <f>_xlfn.XLOOKUP(B249, Properties!A:A, Properties!B:B, FALSE)</f>
        <v>Subotica</v>
      </c>
      <c r="H249" t="str">
        <f>_xlfn.XLOOKUP(C249, Agents!A:A, Agents!B:B, FALSE)</f>
        <v>Marko Jovic</v>
      </c>
      <c r="I249" t="str">
        <f t="shared" si="15"/>
        <v>2024-04</v>
      </c>
      <c r="J249" s="5" t="str">
        <f t="shared" si="16"/>
        <v>Standard</v>
      </c>
      <c r="K249" s="5" t="str">
        <f t="shared" si="17"/>
        <v>Medium</v>
      </c>
      <c r="L249" s="5" t="str">
        <f t="shared" si="18"/>
        <v>No</v>
      </c>
      <c r="M249" s="5" t="str">
        <f t="shared" si="19"/>
        <v>Attention Needed</v>
      </c>
      <c r="N249" s="3">
        <f>_xlfn.XLOOKUP(B249, Properties!A:A, Properties!D:D, FALSE)</f>
        <v>227518</v>
      </c>
    </row>
    <row r="250" spans="1:14" x14ac:dyDescent="0.3">
      <c r="A250">
        <v>241</v>
      </c>
      <c r="B250">
        <v>276</v>
      </c>
      <c r="C250">
        <v>5</v>
      </c>
      <c r="D250" s="3">
        <v>172407</v>
      </c>
      <c r="E250" t="s">
        <v>257</v>
      </c>
      <c r="F250" s="1" t="s">
        <v>348</v>
      </c>
      <c r="G250" t="str">
        <f>_xlfn.XLOOKUP(B250, Properties!A:A, Properties!B:B, FALSE)</f>
        <v>Becej</v>
      </c>
      <c r="H250" t="str">
        <f>_xlfn.XLOOKUP(C250, Agents!A:A, Agents!B:B, FALSE)</f>
        <v>Mina Lukic</v>
      </c>
      <c r="I250" t="str">
        <f t="shared" si="15"/>
        <v>2024-03</v>
      </c>
      <c r="J250" s="5" t="str">
        <f t="shared" si="16"/>
        <v>Standard</v>
      </c>
      <c r="K250" s="5" t="str">
        <f t="shared" si="17"/>
        <v>Medium</v>
      </c>
      <c r="L250" s="5" t="str">
        <f t="shared" si="18"/>
        <v>No</v>
      </c>
      <c r="M250" s="5" t="str">
        <f t="shared" si="19"/>
        <v>Attention Needed</v>
      </c>
      <c r="N250" s="3">
        <f>_xlfn.XLOOKUP(B250, Properties!A:A, Properties!D:D, FALSE)</f>
        <v>93892</v>
      </c>
    </row>
    <row r="251" spans="1:14" x14ac:dyDescent="0.3">
      <c r="A251">
        <v>335</v>
      </c>
      <c r="B251">
        <v>109</v>
      </c>
      <c r="C251">
        <v>10</v>
      </c>
      <c r="D251" s="3">
        <v>172131</v>
      </c>
      <c r="E251" t="s">
        <v>256</v>
      </c>
      <c r="F251" s="1" t="s">
        <v>135</v>
      </c>
      <c r="G251" t="str">
        <f>_xlfn.XLOOKUP(B251, Properties!A:A, Properties!B:B, FALSE)</f>
        <v>Belgrade</v>
      </c>
      <c r="H251" t="str">
        <f>_xlfn.XLOOKUP(C251, Agents!A:A, Agents!B:B, FALSE)</f>
        <v>Marko Jovic</v>
      </c>
      <c r="I251" t="str">
        <f t="shared" si="15"/>
        <v>2024-01</v>
      </c>
      <c r="J251" s="5" t="str">
        <f t="shared" si="16"/>
        <v>Standard</v>
      </c>
      <c r="K251" s="5" t="str">
        <f t="shared" si="17"/>
        <v>Medium</v>
      </c>
      <c r="L251" s="5" t="str">
        <f t="shared" si="18"/>
        <v>No</v>
      </c>
      <c r="M251" s="5" t="str">
        <f t="shared" si="19"/>
        <v>Attention Needed</v>
      </c>
      <c r="N251" s="3">
        <f>_xlfn.XLOOKUP(B251, Properties!A:A, Properties!D:D, FALSE)</f>
        <v>125591</v>
      </c>
    </row>
    <row r="252" spans="1:14" x14ac:dyDescent="0.3">
      <c r="A252">
        <v>355</v>
      </c>
      <c r="B252">
        <v>195</v>
      </c>
      <c r="C252">
        <v>3</v>
      </c>
      <c r="D252" s="3">
        <v>170990</v>
      </c>
      <c r="E252" t="s">
        <v>259</v>
      </c>
      <c r="F252" s="1" t="s">
        <v>364</v>
      </c>
      <c r="G252" t="str">
        <f>_xlfn.XLOOKUP(B252, Properties!A:A, Properties!B:B, FALSE)</f>
        <v>Subotica</v>
      </c>
      <c r="H252" t="str">
        <f>_xlfn.XLOOKUP(C252, Agents!A:A, Agents!B:B, FALSE)</f>
        <v>Ivan Stankovic</v>
      </c>
      <c r="I252" t="str">
        <f t="shared" si="15"/>
        <v>2024-06</v>
      </c>
      <c r="J252" s="5" t="str">
        <f t="shared" si="16"/>
        <v>Standard</v>
      </c>
      <c r="K252" s="5" t="str">
        <f t="shared" si="17"/>
        <v>Medium</v>
      </c>
      <c r="L252" s="5" t="str">
        <f t="shared" si="18"/>
        <v>No</v>
      </c>
      <c r="M252" s="5" t="str">
        <f t="shared" si="19"/>
        <v>Ok</v>
      </c>
      <c r="N252" s="3">
        <f>_xlfn.XLOOKUP(B252, Properties!A:A, Properties!D:D, FALSE)</f>
        <v>140115</v>
      </c>
    </row>
    <row r="253" spans="1:14" x14ac:dyDescent="0.3">
      <c r="A253">
        <v>429</v>
      </c>
      <c r="B253">
        <v>220</v>
      </c>
      <c r="C253">
        <v>4</v>
      </c>
      <c r="D253" s="3">
        <v>170790</v>
      </c>
      <c r="E253" t="s">
        <v>256</v>
      </c>
      <c r="F253" s="1" t="s">
        <v>53</v>
      </c>
      <c r="G253" t="str">
        <f>_xlfn.XLOOKUP(B253, Properties!A:A, Properties!B:B, FALSE)</f>
        <v>Becej</v>
      </c>
      <c r="H253" t="str">
        <f>_xlfn.XLOOKUP(C253, Agents!A:A, Agents!B:B, FALSE)</f>
        <v>Marko Jovic</v>
      </c>
      <c r="I253" t="str">
        <f t="shared" si="15"/>
        <v>2024-06</v>
      </c>
      <c r="J253" s="5" t="str">
        <f t="shared" si="16"/>
        <v>Standard</v>
      </c>
      <c r="K253" s="5" t="str">
        <f t="shared" si="17"/>
        <v>Medium</v>
      </c>
      <c r="L253" s="5" t="str">
        <f t="shared" si="18"/>
        <v>No</v>
      </c>
      <c r="M253" s="5" t="str">
        <f t="shared" si="19"/>
        <v>Attention Needed</v>
      </c>
      <c r="N253" s="3">
        <f>_xlfn.XLOOKUP(B253, Properties!A:A, Properties!D:D, FALSE)</f>
        <v>219945</v>
      </c>
    </row>
    <row r="254" spans="1:14" x14ac:dyDescent="0.3">
      <c r="A254">
        <v>200</v>
      </c>
      <c r="B254">
        <v>124</v>
      </c>
      <c r="C254">
        <v>8</v>
      </c>
      <c r="D254" s="3">
        <v>170232</v>
      </c>
      <c r="E254" t="s">
        <v>259</v>
      </c>
      <c r="F254" s="1" t="s">
        <v>295</v>
      </c>
      <c r="G254" t="str">
        <f>_xlfn.XLOOKUP(B254, Properties!A:A, Properties!B:B, FALSE)</f>
        <v>Nis</v>
      </c>
      <c r="H254" t="str">
        <f>_xlfn.XLOOKUP(C254, Agents!A:A, Agents!B:B, FALSE)</f>
        <v>Mina Lukic</v>
      </c>
      <c r="I254" t="str">
        <f t="shared" si="15"/>
        <v>2024-08</v>
      </c>
      <c r="J254" s="5" t="str">
        <f t="shared" si="16"/>
        <v>Standard</v>
      </c>
      <c r="K254" s="5" t="str">
        <f t="shared" si="17"/>
        <v>Medium</v>
      </c>
      <c r="L254" s="5" t="str">
        <f t="shared" si="18"/>
        <v>No</v>
      </c>
      <c r="M254" s="5" t="str">
        <f t="shared" si="19"/>
        <v>Ok</v>
      </c>
      <c r="N254" s="3">
        <f>_xlfn.XLOOKUP(B254, Properties!A:A, Properties!D:D, FALSE)</f>
        <v>37235</v>
      </c>
    </row>
    <row r="255" spans="1:14" x14ac:dyDescent="0.3">
      <c r="A255">
        <v>419</v>
      </c>
      <c r="B255">
        <v>150</v>
      </c>
      <c r="C255">
        <v>5</v>
      </c>
      <c r="D255" s="3">
        <v>170164</v>
      </c>
      <c r="E255" t="s">
        <v>257</v>
      </c>
      <c r="F255" s="1" t="s">
        <v>163</v>
      </c>
      <c r="G255" t="str">
        <f>_xlfn.XLOOKUP(B255, Properties!A:A, Properties!B:B, FALSE)</f>
        <v>Belgrade</v>
      </c>
      <c r="H255" t="str">
        <f>_xlfn.XLOOKUP(C255, Agents!A:A, Agents!B:B, FALSE)</f>
        <v>Mina Lukic</v>
      </c>
      <c r="I255" t="str">
        <f t="shared" si="15"/>
        <v>2025-05</v>
      </c>
      <c r="J255" s="5" t="str">
        <f t="shared" si="16"/>
        <v>Standard</v>
      </c>
      <c r="K255" s="5" t="str">
        <f t="shared" si="17"/>
        <v>Medium</v>
      </c>
      <c r="L255" s="5" t="str">
        <f t="shared" si="18"/>
        <v>No</v>
      </c>
      <c r="M255" s="5" t="str">
        <f t="shared" si="19"/>
        <v>Attention Needed</v>
      </c>
      <c r="N255" s="3">
        <f>_xlfn.XLOOKUP(B255, Properties!A:A, Properties!D:D, FALSE)</f>
        <v>87367</v>
      </c>
    </row>
    <row r="256" spans="1:14" x14ac:dyDescent="0.3">
      <c r="A256">
        <v>223</v>
      </c>
      <c r="B256">
        <v>14</v>
      </c>
      <c r="C256">
        <v>10</v>
      </c>
      <c r="D256" s="3">
        <v>169214</v>
      </c>
      <c r="E256" t="s">
        <v>256</v>
      </c>
      <c r="F256" s="1" t="s">
        <v>279</v>
      </c>
      <c r="G256" t="str">
        <f>_xlfn.XLOOKUP(B256, Properties!A:A, Properties!B:B, FALSE)</f>
        <v>Nis</v>
      </c>
      <c r="H256" t="str">
        <f>_xlfn.XLOOKUP(C256, Agents!A:A, Agents!B:B, FALSE)</f>
        <v>Marko Jovic</v>
      </c>
      <c r="I256" t="str">
        <f t="shared" si="15"/>
        <v>2025-05</v>
      </c>
      <c r="J256" s="5" t="str">
        <f t="shared" si="16"/>
        <v>Standard</v>
      </c>
      <c r="K256" s="5" t="str">
        <f t="shared" si="17"/>
        <v>Medium</v>
      </c>
      <c r="L256" s="5" t="str">
        <f t="shared" si="18"/>
        <v>No</v>
      </c>
      <c r="M256" s="5" t="str">
        <f t="shared" si="19"/>
        <v>Attention Needed</v>
      </c>
      <c r="N256" s="3">
        <f>_xlfn.XLOOKUP(B256, Properties!A:A, Properties!D:D, FALSE)</f>
        <v>247423</v>
      </c>
    </row>
    <row r="257" spans="1:14" x14ac:dyDescent="0.3">
      <c r="A257">
        <v>261</v>
      </c>
      <c r="B257">
        <v>299</v>
      </c>
      <c r="C257">
        <v>10</v>
      </c>
      <c r="D257" s="3">
        <v>167129</v>
      </c>
      <c r="E257" t="s">
        <v>259</v>
      </c>
      <c r="F257" s="1" t="s">
        <v>365</v>
      </c>
      <c r="G257" t="str">
        <f>_xlfn.XLOOKUP(B257, Properties!A:A, Properties!B:B, FALSE)</f>
        <v>Belgrade</v>
      </c>
      <c r="H257" t="str">
        <f>_xlfn.XLOOKUP(C257, Agents!A:A, Agents!B:B, FALSE)</f>
        <v>Marko Jovic</v>
      </c>
      <c r="I257" t="str">
        <f t="shared" si="15"/>
        <v>2024-11</v>
      </c>
      <c r="J257" s="5" t="str">
        <f t="shared" si="16"/>
        <v>Standard</v>
      </c>
      <c r="K257" s="5" t="str">
        <f t="shared" si="17"/>
        <v>Medium</v>
      </c>
      <c r="L257" s="5" t="str">
        <f t="shared" si="18"/>
        <v>No</v>
      </c>
      <c r="M257" s="5" t="str">
        <f t="shared" si="19"/>
        <v>Ok</v>
      </c>
      <c r="N257" s="3">
        <f>_xlfn.XLOOKUP(B257, Properties!A:A, Properties!D:D, FALSE)</f>
        <v>73611</v>
      </c>
    </row>
    <row r="258" spans="1:14" x14ac:dyDescent="0.3">
      <c r="A258">
        <v>259</v>
      </c>
      <c r="B258">
        <v>166</v>
      </c>
      <c r="C258">
        <v>4</v>
      </c>
      <c r="D258" s="3">
        <v>166726</v>
      </c>
      <c r="E258" t="s">
        <v>259</v>
      </c>
      <c r="F258" s="1" t="s">
        <v>294</v>
      </c>
      <c r="G258" t="str">
        <f>_xlfn.XLOOKUP(B258, Properties!A:A, Properties!B:B, FALSE)</f>
        <v>Nis</v>
      </c>
      <c r="H258" t="str">
        <f>_xlfn.XLOOKUP(C258, Agents!A:A, Agents!B:B, FALSE)</f>
        <v>Marko Jovic</v>
      </c>
      <c r="I258" t="str">
        <f t="shared" ref="I258:I321" si="20">TEXT(F258, "YYYY-MM")</f>
        <v>2024-07</v>
      </c>
      <c r="J258" s="5" t="str">
        <f t="shared" ref="J258:J321" si="21">IF(D258&gt;200000, "Luxury", "Standard")</f>
        <v>Standard</v>
      </c>
      <c r="K258" s="5" t="str">
        <f t="shared" ref="K258:K321" si="22">IF(D258&gt;250000, "High", IF(D258&gt;150000, "Medium", "Low"))</f>
        <v>Medium</v>
      </c>
      <c r="L258" s="5" t="str">
        <f t="shared" ref="L258:L321" si="23">IF(AND(E258="Sold", D258&gt;200000), "Yes", "No")</f>
        <v>No</v>
      </c>
      <c r="M258" s="5" t="str">
        <f t="shared" ref="M258:M321" si="24">IF(OR(E258="Pending", E258="Cancelled"), "Attention Needed", "Ok")</f>
        <v>Ok</v>
      </c>
      <c r="N258" s="3">
        <f>_xlfn.XLOOKUP(B258, Properties!A:A, Properties!D:D, FALSE)</f>
        <v>230696</v>
      </c>
    </row>
    <row r="259" spans="1:14" x14ac:dyDescent="0.3">
      <c r="A259">
        <v>170</v>
      </c>
      <c r="B259">
        <v>288</v>
      </c>
      <c r="C259">
        <v>2</v>
      </c>
      <c r="D259" s="3">
        <v>166466</v>
      </c>
      <c r="E259" t="s">
        <v>256</v>
      </c>
      <c r="F259" s="1" t="s">
        <v>328</v>
      </c>
      <c r="G259" t="str">
        <f>_xlfn.XLOOKUP(B259, Properties!A:A, Properties!B:B, FALSE)</f>
        <v>Novi Sad</v>
      </c>
      <c r="H259" t="str">
        <f>_xlfn.XLOOKUP(C259, Agents!A:A, Agents!B:B, FALSE)</f>
        <v>Jelena Petrovic</v>
      </c>
      <c r="I259" t="str">
        <f t="shared" si="20"/>
        <v>2024-12</v>
      </c>
      <c r="J259" s="5" t="str">
        <f t="shared" si="21"/>
        <v>Standard</v>
      </c>
      <c r="K259" s="5" t="str">
        <f t="shared" si="22"/>
        <v>Medium</v>
      </c>
      <c r="L259" s="5" t="str">
        <f t="shared" si="23"/>
        <v>No</v>
      </c>
      <c r="M259" s="5" t="str">
        <f t="shared" si="24"/>
        <v>Attention Needed</v>
      </c>
      <c r="N259" s="3">
        <f>_xlfn.XLOOKUP(B259, Properties!A:A, Properties!D:D, FALSE)</f>
        <v>39704</v>
      </c>
    </row>
    <row r="260" spans="1:14" x14ac:dyDescent="0.3">
      <c r="A260">
        <v>15</v>
      </c>
      <c r="B260">
        <v>257</v>
      </c>
      <c r="C260">
        <v>5</v>
      </c>
      <c r="D260" s="3">
        <v>164726</v>
      </c>
      <c r="E260" t="s">
        <v>259</v>
      </c>
      <c r="F260" s="1" t="s">
        <v>50</v>
      </c>
      <c r="G260" t="str">
        <f>_xlfn.XLOOKUP(B260, Properties!A:A, Properties!B:B, FALSE)</f>
        <v>Becej</v>
      </c>
      <c r="H260" t="str">
        <f>_xlfn.XLOOKUP(C260, Agents!A:A, Agents!B:B, FALSE)</f>
        <v>Mina Lukic</v>
      </c>
      <c r="I260" t="str">
        <f t="shared" si="20"/>
        <v>2025-04</v>
      </c>
      <c r="J260" s="5" t="str">
        <f t="shared" si="21"/>
        <v>Standard</v>
      </c>
      <c r="K260" s="5" t="str">
        <f t="shared" si="22"/>
        <v>Medium</v>
      </c>
      <c r="L260" s="5" t="str">
        <f t="shared" si="23"/>
        <v>No</v>
      </c>
      <c r="M260" s="5" t="str">
        <f t="shared" si="24"/>
        <v>Ok</v>
      </c>
      <c r="N260" s="3">
        <f>_xlfn.XLOOKUP(B260, Properties!A:A, Properties!D:D, FALSE)</f>
        <v>77576</v>
      </c>
    </row>
    <row r="261" spans="1:14" x14ac:dyDescent="0.3">
      <c r="A261">
        <v>133</v>
      </c>
      <c r="B261">
        <v>3</v>
      </c>
      <c r="C261">
        <v>2</v>
      </c>
      <c r="D261" s="3">
        <v>164177</v>
      </c>
      <c r="E261" t="s">
        <v>259</v>
      </c>
      <c r="F261" s="1" t="s">
        <v>20</v>
      </c>
      <c r="G261" t="str">
        <f>_xlfn.XLOOKUP(B261, Properties!A:A, Properties!B:B, FALSE)</f>
        <v>Belgrade</v>
      </c>
      <c r="H261" t="str">
        <f>_xlfn.XLOOKUP(C261, Agents!A:A, Agents!B:B, FALSE)</f>
        <v>Jelena Petrovic</v>
      </c>
      <c r="I261" t="str">
        <f t="shared" si="20"/>
        <v>2024-04</v>
      </c>
      <c r="J261" s="5" t="str">
        <f t="shared" si="21"/>
        <v>Standard</v>
      </c>
      <c r="K261" s="5" t="str">
        <f t="shared" si="22"/>
        <v>Medium</v>
      </c>
      <c r="L261" s="5" t="str">
        <f t="shared" si="23"/>
        <v>No</v>
      </c>
      <c r="M261" s="5" t="str">
        <f t="shared" si="24"/>
        <v>Ok</v>
      </c>
      <c r="N261" s="3">
        <f>_xlfn.XLOOKUP(B261, Properties!A:A, Properties!D:D, FALSE)</f>
        <v>184794</v>
      </c>
    </row>
    <row r="262" spans="1:14" x14ac:dyDescent="0.3">
      <c r="A262">
        <v>327</v>
      </c>
      <c r="B262">
        <v>77</v>
      </c>
      <c r="C262">
        <v>4</v>
      </c>
      <c r="D262" s="3">
        <v>162339</v>
      </c>
      <c r="E262" t="s">
        <v>259</v>
      </c>
      <c r="F262" s="1" t="s">
        <v>319</v>
      </c>
      <c r="G262" t="str">
        <f>_xlfn.XLOOKUP(B262, Properties!A:A, Properties!B:B, FALSE)</f>
        <v>Nis</v>
      </c>
      <c r="H262" t="str">
        <f>_xlfn.XLOOKUP(C262, Agents!A:A, Agents!B:B, FALSE)</f>
        <v>Marko Jovic</v>
      </c>
      <c r="I262" t="str">
        <f t="shared" si="20"/>
        <v>2025-02</v>
      </c>
      <c r="J262" s="5" t="str">
        <f t="shared" si="21"/>
        <v>Standard</v>
      </c>
      <c r="K262" s="5" t="str">
        <f t="shared" si="22"/>
        <v>Medium</v>
      </c>
      <c r="L262" s="5" t="str">
        <f t="shared" si="23"/>
        <v>No</v>
      </c>
      <c r="M262" s="5" t="str">
        <f t="shared" si="24"/>
        <v>Ok</v>
      </c>
      <c r="N262" s="3">
        <f>_xlfn.XLOOKUP(B262, Properties!A:A, Properties!D:D, FALSE)</f>
        <v>70579</v>
      </c>
    </row>
    <row r="263" spans="1:14" x14ac:dyDescent="0.3">
      <c r="A263">
        <v>187</v>
      </c>
      <c r="B263">
        <v>266</v>
      </c>
      <c r="C263">
        <v>5</v>
      </c>
      <c r="D263" s="3">
        <v>161389</v>
      </c>
      <c r="E263" t="s">
        <v>259</v>
      </c>
      <c r="F263" s="1" t="s">
        <v>336</v>
      </c>
      <c r="G263" t="str">
        <f>_xlfn.XLOOKUP(B263, Properties!A:A, Properties!B:B, FALSE)</f>
        <v>Novi Sad</v>
      </c>
      <c r="H263" t="str">
        <f>_xlfn.XLOOKUP(C263, Agents!A:A, Agents!B:B, FALSE)</f>
        <v>Mina Lukic</v>
      </c>
      <c r="I263" t="str">
        <f t="shared" si="20"/>
        <v>2024-04</v>
      </c>
      <c r="J263" s="5" t="str">
        <f t="shared" si="21"/>
        <v>Standard</v>
      </c>
      <c r="K263" s="5" t="str">
        <f t="shared" si="22"/>
        <v>Medium</v>
      </c>
      <c r="L263" s="5" t="str">
        <f t="shared" si="23"/>
        <v>No</v>
      </c>
      <c r="M263" s="5" t="str">
        <f t="shared" si="24"/>
        <v>Ok</v>
      </c>
      <c r="N263" s="3">
        <f>_xlfn.XLOOKUP(B263, Properties!A:A, Properties!D:D, FALSE)</f>
        <v>193219</v>
      </c>
    </row>
    <row r="264" spans="1:14" x14ac:dyDescent="0.3">
      <c r="A264">
        <v>202</v>
      </c>
      <c r="B264">
        <v>197</v>
      </c>
      <c r="C264">
        <v>10</v>
      </c>
      <c r="D264" s="3">
        <v>160165</v>
      </c>
      <c r="E264" t="s">
        <v>256</v>
      </c>
      <c r="F264" s="1" t="s">
        <v>121</v>
      </c>
      <c r="G264" t="str">
        <f>_xlfn.XLOOKUP(B264, Properties!A:A, Properties!B:B, FALSE)</f>
        <v>Subotica</v>
      </c>
      <c r="H264" t="str">
        <f>_xlfn.XLOOKUP(C264, Agents!A:A, Agents!B:B, FALSE)</f>
        <v>Marko Jovic</v>
      </c>
      <c r="I264" t="str">
        <f t="shared" si="20"/>
        <v>2025-05</v>
      </c>
      <c r="J264" s="5" t="str">
        <f t="shared" si="21"/>
        <v>Standard</v>
      </c>
      <c r="K264" s="5" t="str">
        <f t="shared" si="22"/>
        <v>Medium</v>
      </c>
      <c r="L264" s="5" t="str">
        <f t="shared" si="23"/>
        <v>No</v>
      </c>
      <c r="M264" s="5" t="str">
        <f t="shared" si="24"/>
        <v>Attention Needed</v>
      </c>
      <c r="N264" s="3">
        <f>_xlfn.XLOOKUP(B264, Properties!A:A, Properties!D:D, FALSE)</f>
        <v>215416</v>
      </c>
    </row>
    <row r="265" spans="1:14" x14ac:dyDescent="0.3">
      <c r="A265">
        <v>450</v>
      </c>
      <c r="B265">
        <v>220</v>
      </c>
      <c r="C265">
        <v>6</v>
      </c>
      <c r="D265" s="3">
        <v>159911</v>
      </c>
      <c r="E265" t="s">
        <v>259</v>
      </c>
      <c r="F265" s="1" t="s">
        <v>226</v>
      </c>
      <c r="G265" t="str">
        <f>_xlfn.XLOOKUP(B265, Properties!A:A, Properties!B:B, FALSE)</f>
        <v>Becej</v>
      </c>
      <c r="H265" t="str">
        <f>_xlfn.XLOOKUP(C265, Agents!A:A, Agents!B:B, FALSE)</f>
        <v>Marko Jovic</v>
      </c>
      <c r="I265" t="str">
        <f t="shared" si="20"/>
        <v>2024-05</v>
      </c>
      <c r="J265" s="5" t="str">
        <f t="shared" si="21"/>
        <v>Standard</v>
      </c>
      <c r="K265" s="5" t="str">
        <f t="shared" si="22"/>
        <v>Medium</v>
      </c>
      <c r="L265" s="5" t="str">
        <f t="shared" si="23"/>
        <v>No</v>
      </c>
      <c r="M265" s="5" t="str">
        <f t="shared" si="24"/>
        <v>Ok</v>
      </c>
      <c r="N265" s="3">
        <f>_xlfn.XLOOKUP(B265, Properties!A:A, Properties!D:D, FALSE)</f>
        <v>219945</v>
      </c>
    </row>
    <row r="266" spans="1:14" x14ac:dyDescent="0.3">
      <c r="A266">
        <v>358</v>
      </c>
      <c r="B266">
        <v>40</v>
      </c>
      <c r="C266">
        <v>6</v>
      </c>
      <c r="D266" s="3">
        <v>159284</v>
      </c>
      <c r="E266" t="s">
        <v>256</v>
      </c>
      <c r="F266" s="1" t="s">
        <v>305</v>
      </c>
      <c r="G266" t="str">
        <f>_xlfn.XLOOKUP(B266, Properties!A:A, Properties!B:B, FALSE)</f>
        <v>Subotica</v>
      </c>
      <c r="H266" t="str">
        <f>_xlfn.XLOOKUP(C266, Agents!A:A, Agents!B:B, FALSE)</f>
        <v>Marko Jovic</v>
      </c>
      <c r="I266" t="str">
        <f t="shared" si="20"/>
        <v>2025-01</v>
      </c>
      <c r="J266" s="5" t="str">
        <f t="shared" si="21"/>
        <v>Standard</v>
      </c>
      <c r="K266" s="5" t="str">
        <f t="shared" si="22"/>
        <v>Medium</v>
      </c>
      <c r="L266" s="5" t="str">
        <f t="shared" si="23"/>
        <v>No</v>
      </c>
      <c r="M266" s="5" t="str">
        <f t="shared" si="24"/>
        <v>Attention Needed</v>
      </c>
      <c r="N266" s="3">
        <f>_xlfn.XLOOKUP(B266, Properties!A:A, Properties!D:D, FALSE)</f>
        <v>163085</v>
      </c>
    </row>
    <row r="267" spans="1:14" x14ac:dyDescent="0.3">
      <c r="A267">
        <v>34</v>
      </c>
      <c r="B267">
        <v>11</v>
      </c>
      <c r="C267">
        <v>1</v>
      </c>
      <c r="D267" s="3">
        <v>157700</v>
      </c>
      <c r="E267" t="s">
        <v>256</v>
      </c>
      <c r="F267" s="1" t="s">
        <v>168</v>
      </c>
      <c r="G267" t="str">
        <f>_xlfn.XLOOKUP(B267, Properties!A:A, Properties!B:B, FALSE)</f>
        <v>Belgrade</v>
      </c>
      <c r="H267" t="str">
        <f>_xlfn.XLOOKUP(C267, Agents!A:A, Agents!B:B, FALSE)</f>
        <v>Ana Markovic</v>
      </c>
      <c r="I267" t="str">
        <f t="shared" si="20"/>
        <v>2024-03</v>
      </c>
      <c r="J267" s="5" t="str">
        <f t="shared" si="21"/>
        <v>Standard</v>
      </c>
      <c r="K267" s="5" t="str">
        <f t="shared" si="22"/>
        <v>Medium</v>
      </c>
      <c r="L267" s="5" t="str">
        <f t="shared" si="23"/>
        <v>No</v>
      </c>
      <c r="M267" s="5" t="str">
        <f t="shared" si="24"/>
        <v>Attention Needed</v>
      </c>
      <c r="N267" s="3">
        <f>_xlfn.XLOOKUP(B267, Properties!A:A, Properties!D:D, FALSE)</f>
        <v>120165</v>
      </c>
    </row>
    <row r="268" spans="1:14" x14ac:dyDescent="0.3">
      <c r="A268">
        <v>329</v>
      </c>
      <c r="B268">
        <v>208</v>
      </c>
      <c r="C268">
        <v>8</v>
      </c>
      <c r="D268" s="3">
        <v>157510</v>
      </c>
      <c r="E268" t="s">
        <v>257</v>
      </c>
      <c r="F268" s="1" t="s">
        <v>78</v>
      </c>
      <c r="G268" t="str">
        <f>_xlfn.XLOOKUP(B268, Properties!A:A, Properties!B:B, FALSE)</f>
        <v>Novi Sad</v>
      </c>
      <c r="H268" t="str">
        <f>_xlfn.XLOOKUP(C268, Agents!A:A, Agents!B:B, FALSE)</f>
        <v>Mina Lukic</v>
      </c>
      <c r="I268" t="str">
        <f t="shared" si="20"/>
        <v>2024-12</v>
      </c>
      <c r="J268" s="5" t="str">
        <f t="shared" si="21"/>
        <v>Standard</v>
      </c>
      <c r="K268" s="5" t="str">
        <f t="shared" si="22"/>
        <v>Medium</v>
      </c>
      <c r="L268" s="5" t="str">
        <f t="shared" si="23"/>
        <v>No</v>
      </c>
      <c r="M268" s="5" t="str">
        <f t="shared" si="24"/>
        <v>Attention Needed</v>
      </c>
      <c r="N268" s="3">
        <f>_xlfn.XLOOKUP(B268, Properties!A:A, Properties!D:D, FALSE)</f>
        <v>93270</v>
      </c>
    </row>
    <row r="269" spans="1:14" x14ac:dyDescent="0.3">
      <c r="A269">
        <v>298</v>
      </c>
      <c r="B269">
        <v>95</v>
      </c>
      <c r="C269">
        <v>9</v>
      </c>
      <c r="D269" s="3">
        <v>156336</v>
      </c>
      <c r="E269" t="s">
        <v>256</v>
      </c>
      <c r="F269" s="1" t="s">
        <v>324</v>
      </c>
      <c r="G269" t="str">
        <f>_xlfn.XLOOKUP(B269, Properties!A:A, Properties!B:B, FALSE)</f>
        <v>Nis</v>
      </c>
      <c r="H269" t="str">
        <f>_xlfn.XLOOKUP(C269, Agents!A:A, Agents!B:B, FALSE)</f>
        <v>Ivan Stankovic</v>
      </c>
      <c r="I269" t="str">
        <f t="shared" si="20"/>
        <v>2025-03</v>
      </c>
      <c r="J269" s="5" t="str">
        <f t="shared" si="21"/>
        <v>Standard</v>
      </c>
      <c r="K269" s="5" t="str">
        <f t="shared" si="22"/>
        <v>Medium</v>
      </c>
      <c r="L269" s="5" t="str">
        <f t="shared" si="23"/>
        <v>No</v>
      </c>
      <c r="M269" s="5" t="str">
        <f t="shared" si="24"/>
        <v>Attention Needed</v>
      </c>
      <c r="N269" s="3">
        <f>_xlfn.XLOOKUP(B269, Properties!A:A, Properties!D:D, FALSE)</f>
        <v>190347</v>
      </c>
    </row>
    <row r="270" spans="1:14" x14ac:dyDescent="0.3">
      <c r="A270">
        <v>206</v>
      </c>
      <c r="B270">
        <v>202</v>
      </c>
      <c r="C270">
        <v>9</v>
      </c>
      <c r="D270" s="3">
        <v>156211</v>
      </c>
      <c r="E270" t="s">
        <v>256</v>
      </c>
      <c r="F270" s="1" t="s">
        <v>20</v>
      </c>
      <c r="G270" t="str">
        <f>_xlfn.XLOOKUP(B270, Properties!A:A, Properties!B:B, FALSE)</f>
        <v>Becej</v>
      </c>
      <c r="H270" t="str">
        <f>_xlfn.XLOOKUP(C270, Agents!A:A, Agents!B:B, FALSE)</f>
        <v>Ivan Stankovic</v>
      </c>
      <c r="I270" t="str">
        <f t="shared" si="20"/>
        <v>2024-04</v>
      </c>
      <c r="J270" s="5" t="str">
        <f t="shared" si="21"/>
        <v>Standard</v>
      </c>
      <c r="K270" s="5" t="str">
        <f t="shared" si="22"/>
        <v>Medium</v>
      </c>
      <c r="L270" s="5" t="str">
        <f t="shared" si="23"/>
        <v>No</v>
      </c>
      <c r="M270" s="5" t="str">
        <f t="shared" si="24"/>
        <v>Attention Needed</v>
      </c>
      <c r="N270" s="3">
        <f>_xlfn.XLOOKUP(B270, Properties!A:A, Properties!D:D, FALSE)</f>
        <v>226732</v>
      </c>
    </row>
    <row r="271" spans="1:14" x14ac:dyDescent="0.3">
      <c r="A271">
        <v>287</v>
      </c>
      <c r="B271">
        <v>215</v>
      </c>
      <c r="C271">
        <v>10</v>
      </c>
      <c r="D271" s="3">
        <v>156178</v>
      </c>
      <c r="E271" t="s">
        <v>259</v>
      </c>
      <c r="F271" s="1" t="s">
        <v>370</v>
      </c>
      <c r="G271" t="str">
        <f>_xlfn.XLOOKUP(B271, Properties!A:A, Properties!B:B, FALSE)</f>
        <v>Subotica</v>
      </c>
      <c r="H271" t="str">
        <f>_xlfn.XLOOKUP(C271, Agents!A:A, Agents!B:B, FALSE)</f>
        <v>Marko Jovic</v>
      </c>
      <c r="I271" t="str">
        <f t="shared" si="20"/>
        <v>2024-04</v>
      </c>
      <c r="J271" s="5" t="str">
        <f t="shared" si="21"/>
        <v>Standard</v>
      </c>
      <c r="K271" s="5" t="str">
        <f t="shared" si="22"/>
        <v>Medium</v>
      </c>
      <c r="L271" s="5" t="str">
        <f t="shared" si="23"/>
        <v>No</v>
      </c>
      <c r="M271" s="5" t="str">
        <f t="shared" si="24"/>
        <v>Ok</v>
      </c>
      <c r="N271" s="3">
        <f>_xlfn.XLOOKUP(B271, Properties!A:A, Properties!D:D, FALSE)</f>
        <v>225542</v>
      </c>
    </row>
    <row r="272" spans="1:14" x14ac:dyDescent="0.3">
      <c r="A272">
        <v>242</v>
      </c>
      <c r="B272">
        <v>56</v>
      </c>
      <c r="C272">
        <v>10</v>
      </c>
      <c r="D272" s="3">
        <v>155452</v>
      </c>
      <c r="E272" t="s">
        <v>257</v>
      </c>
      <c r="F272" s="1" t="s">
        <v>137</v>
      </c>
      <c r="G272" t="str">
        <f>_xlfn.XLOOKUP(B272, Properties!A:A, Properties!B:B, FALSE)</f>
        <v>Belgrade</v>
      </c>
      <c r="H272" t="str">
        <f>_xlfn.XLOOKUP(C272, Agents!A:A, Agents!B:B, FALSE)</f>
        <v>Marko Jovic</v>
      </c>
      <c r="I272" t="str">
        <f t="shared" si="20"/>
        <v>2024-05</v>
      </c>
      <c r="J272" s="5" t="str">
        <f t="shared" si="21"/>
        <v>Standard</v>
      </c>
      <c r="K272" s="5" t="str">
        <f t="shared" si="22"/>
        <v>Medium</v>
      </c>
      <c r="L272" s="5" t="str">
        <f t="shared" si="23"/>
        <v>No</v>
      </c>
      <c r="M272" s="5" t="str">
        <f t="shared" si="24"/>
        <v>Attention Needed</v>
      </c>
      <c r="N272" s="3">
        <f>_xlfn.XLOOKUP(B272, Properties!A:A, Properties!D:D, FALSE)</f>
        <v>215556</v>
      </c>
    </row>
    <row r="273" spans="1:14" x14ac:dyDescent="0.3">
      <c r="A273">
        <v>119</v>
      </c>
      <c r="B273">
        <v>230</v>
      </c>
      <c r="C273">
        <v>4</v>
      </c>
      <c r="D273" s="3">
        <v>155393</v>
      </c>
      <c r="E273" t="s">
        <v>257</v>
      </c>
      <c r="F273" s="1" t="s">
        <v>127</v>
      </c>
      <c r="G273" t="str">
        <f>_xlfn.XLOOKUP(B273, Properties!A:A, Properties!B:B, FALSE)</f>
        <v>Belgrade</v>
      </c>
      <c r="H273" t="str">
        <f>_xlfn.XLOOKUP(C273, Agents!A:A, Agents!B:B, FALSE)</f>
        <v>Marko Jovic</v>
      </c>
      <c r="I273" t="str">
        <f t="shared" si="20"/>
        <v>2024-06</v>
      </c>
      <c r="J273" s="5" t="str">
        <f t="shared" si="21"/>
        <v>Standard</v>
      </c>
      <c r="K273" s="5" t="str">
        <f t="shared" si="22"/>
        <v>Medium</v>
      </c>
      <c r="L273" s="5" t="str">
        <f t="shared" si="23"/>
        <v>No</v>
      </c>
      <c r="M273" s="5" t="str">
        <f t="shared" si="24"/>
        <v>Attention Needed</v>
      </c>
      <c r="N273" s="3">
        <f>_xlfn.XLOOKUP(B273, Properties!A:A, Properties!D:D, FALSE)</f>
        <v>158908</v>
      </c>
    </row>
    <row r="274" spans="1:14" x14ac:dyDescent="0.3">
      <c r="A274">
        <v>397</v>
      </c>
      <c r="B274">
        <v>69</v>
      </c>
      <c r="C274">
        <v>6</v>
      </c>
      <c r="D274" s="3">
        <v>155080</v>
      </c>
      <c r="E274" t="s">
        <v>259</v>
      </c>
      <c r="F274" s="1" t="s">
        <v>322</v>
      </c>
      <c r="G274" t="str">
        <f>_xlfn.XLOOKUP(B274, Properties!A:A, Properties!B:B, FALSE)</f>
        <v>Belgrade</v>
      </c>
      <c r="H274" t="str">
        <f>_xlfn.XLOOKUP(C274, Agents!A:A, Agents!B:B, FALSE)</f>
        <v>Marko Jovic</v>
      </c>
      <c r="I274" t="str">
        <f t="shared" si="20"/>
        <v>2024-06</v>
      </c>
      <c r="J274" s="5" t="str">
        <f t="shared" si="21"/>
        <v>Standard</v>
      </c>
      <c r="K274" s="5" t="str">
        <f t="shared" si="22"/>
        <v>Medium</v>
      </c>
      <c r="L274" s="5" t="str">
        <f t="shared" si="23"/>
        <v>No</v>
      </c>
      <c r="M274" s="5" t="str">
        <f t="shared" si="24"/>
        <v>Ok</v>
      </c>
      <c r="N274" s="3">
        <f>_xlfn.XLOOKUP(B274, Properties!A:A, Properties!D:D, FALSE)</f>
        <v>241818</v>
      </c>
    </row>
    <row r="275" spans="1:14" x14ac:dyDescent="0.3">
      <c r="A275">
        <v>488</v>
      </c>
      <c r="B275">
        <v>158</v>
      </c>
      <c r="C275">
        <v>2</v>
      </c>
      <c r="D275" s="3">
        <v>154868</v>
      </c>
      <c r="E275" t="s">
        <v>259</v>
      </c>
      <c r="F275" s="1" t="s">
        <v>420</v>
      </c>
      <c r="G275" t="str">
        <f>_xlfn.XLOOKUP(B275, Properties!A:A, Properties!B:B, FALSE)</f>
        <v>Nis</v>
      </c>
      <c r="H275" t="str">
        <f>_xlfn.XLOOKUP(C275, Agents!A:A, Agents!B:B, FALSE)</f>
        <v>Jelena Petrovic</v>
      </c>
      <c r="I275" t="str">
        <f t="shared" si="20"/>
        <v>2024-08</v>
      </c>
      <c r="J275" s="5" t="str">
        <f t="shared" si="21"/>
        <v>Standard</v>
      </c>
      <c r="K275" s="5" t="str">
        <f t="shared" si="22"/>
        <v>Medium</v>
      </c>
      <c r="L275" s="5" t="str">
        <f t="shared" si="23"/>
        <v>No</v>
      </c>
      <c r="M275" s="5" t="str">
        <f t="shared" si="24"/>
        <v>Ok</v>
      </c>
      <c r="N275" s="3">
        <f>_xlfn.XLOOKUP(B275, Properties!A:A, Properties!D:D, FALSE)</f>
        <v>194298</v>
      </c>
    </row>
    <row r="276" spans="1:14" x14ac:dyDescent="0.3">
      <c r="A276">
        <v>5</v>
      </c>
      <c r="B276">
        <v>197</v>
      </c>
      <c r="C276">
        <v>8</v>
      </c>
      <c r="D276" s="3">
        <v>154364</v>
      </c>
      <c r="E276" t="s">
        <v>259</v>
      </c>
      <c r="F276" s="1" t="s">
        <v>260</v>
      </c>
      <c r="G276" t="str">
        <f>_xlfn.XLOOKUP(B276, Properties!A:A, Properties!B:B, FALSE)</f>
        <v>Subotica</v>
      </c>
      <c r="H276" t="str">
        <f>_xlfn.XLOOKUP(C276, Agents!A:A, Agents!B:B, FALSE)</f>
        <v>Mina Lukic</v>
      </c>
      <c r="I276" t="str">
        <f t="shared" si="20"/>
        <v>2024-07</v>
      </c>
      <c r="J276" s="5" t="str">
        <f t="shared" si="21"/>
        <v>Standard</v>
      </c>
      <c r="K276" s="5" t="str">
        <f t="shared" si="22"/>
        <v>Medium</v>
      </c>
      <c r="L276" s="5" t="str">
        <f t="shared" si="23"/>
        <v>No</v>
      </c>
      <c r="M276" s="5" t="str">
        <f t="shared" si="24"/>
        <v>Ok</v>
      </c>
      <c r="N276" s="3">
        <f>_xlfn.XLOOKUP(B276, Properties!A:A, Properties!D:D, FALSE)</f>
        <v>215416</v>
      </c>
    </row>
    <row r="277" spans="1:14" x14ac:dyDescent="0.3">
      <c r="A277">
        <v>21</v>
      </c>
      <c r="B277">
        <v>191</v>
      </c>
      <c r="C277">
        <v>2</v>
      </c>
      <c r="D277" s="3">
        <v>152590</v>
      </c>
      <c r="E277" t="s">
        <v>257</v>
      </c>
      <c r="F277" s="1" t="s">
        <v>265</v>
      </c>
      <c r="G277" t="str">
        <f>_xlfn.XLOOKUP(B277, Properties!A:A, Properties!B:B, FALSE)</f>
        <v>Belgrade</v>
      </c>
      <c r="H277" t="str">
        <f>_xlfn.XLOOKUP(C277, Agents!A:A, Agents!B:B, FALSE)</f>
        <v>Jelena Petrovic</v>
      </c>
      <c r="I277" t="str">
        <f t="shared" si="20"/>
        <v>2024-08</v>
      </c>
      <c r="J277" s="5" t="str">
        <f t="shared" si="21"/>
        <v>Standard</v>
      </c>
      <c r="K277" s="5" t="str">
        <f t="shared" si="22"/>
        <v>Medium</v>
      </c>
      <c r="L277" s="5" t="str">
        <f t="shared" si="23"/>
        <v>No</v>
      </c>
      <c r="M277" s="5" t="str">
        <f t="shared" si="24"/>
        <v>Attention Needed</v>
      </c>
      <c r="N277" s="3">
        <f>_xlfn.XLOOKUP(B277, Properties!A:A, Properties!D:D, FALSE)</f>
        <v>56712</v>
      </c>
    </row>
    <row r="278" spans="1:14" x14ac:dyDescent="0.3">
      <c r="A278">
        <v>243</v>
      </c>
      <c r="B278">
        <v>26</v>
      </c>
      <c r="C278">
        <v>9</v>
      </c>
      <c r="D278" s="3">
        <v>152073</v>
      </c>
      <c r="E278" t="s">
        <v>259</v>
      </c>
      <c r="F278" s="1" t="s">
        <v>218</v>
      </c>
      <c r="G278" t="str">
        <f>_xlfn.XLOOKUP(B278, Properties!A:A, Properties!B:B, FALSE)</f>
        <v>Novi Sad</v>
      </c>
      <c r="H278" t="str">
        <f>_xlfn.XLOOKUP(C278, Agents!A:A, Agents!B:B, FALSE)</f>
        <v>Ivan Stankovic</v>
      </c>
      <c r="I278" t="str">
        <f t="shared" si="20"/>
        <v>2024-01</v>
      </c>
      <c r="J278" s="5" t="str">
        <f t="shared" si="21"/>
        <v>Standard</v>
      </c>
      <c r="K278" s="5" t="str">
        <f t="shared" si="22"/>
        <v>Medium</v>
      </c>
      <c r="L278" s="5" t="str">
        <f t="shared" si="23"/>
        <v>No</v>
      </c>
      <c r="M278" s="5" t="str">
        <f t="shared" si="24"/>
        <v>Ok</v>
      </c>
      <c r="N278" s="3">
        <f>_xlfn.XLOOKUP(B278, Properties!A:A, Properties!D:D, FALSE)</f>
        <v>85738</v>
      </c>
    </row>
    <row r="279" spans="1:14" x14ac:dyDescent="0.3">
      <c r="A279">
        <v>315</v>
      </c>
      <c r="B279">
        <v>79</v>
      </c>
      <c r="C279">
        <v>4</v>
      </c>
      <c r="D279" s="3">
        <v>150596</v>
      </c>
      <c r="E279" t="s">
        <v>256</v>
      </c>
      <c r="F279" s="1" t="s">
        <v>21</v>
      </c>
      <c r="G279" t="str">
        <f>_xlfn.XLOOKUP(B279, Properties!A:A, Properties!B:B, FALSE)</f>
        <v>Nis</v>
      </c>
      <c r="H279" t="str">
        <f>_xlfn.XLOOKUP(C279, Agents!A:A, Agents!B:B, FALSE)</f>
        <v>Marko Jovic</v>
      </c>
      <c r="I279" t="str">
        <f t="shared" si="20"/>
        <v>2024-07</v>
      </c>
      <c r="J279" s="5" t="str">
        <f t="shared" si="21"/>
        <v>Standard</v>
      </c>
      <c r="K279" s="5" t="str">
        <f t="shared" si="22"/>
        <v>Medium</v>
      </c>
      <c r="L279" s="5" t="str">
        <f t="shared" si="23"/>
        <v>No</v>
      </c>
      <c r="M279" s="5" t="str">
        <f t="shared" si="24"/>
        <v>Attention Needed</v>
      </c>
      <c r="N279" s="3">
        <f>_xlfn.XLOOKUP(B279, Properties!A:A, Properties!D:D, FALSE)</f>
        <v>226077</v>
      </c>
    </row>
    <row r="280" spans="1:14" x14ac:dyDescent="0.3">
      <c r="A280">
        <v>442</v>
      </c>
      <c r="B280">
        <v>68</v>
      </c>
      <c r="C280">
        <v>8</v>
      </c>
      <c r="D280" s="3">
        <v>150034</v>
      </c>
      <c r="E280" t="s">
        <v>259</v>
      </c>
      <c r="F280" s="1" t="s">
        <v>294</v>
      </c>
      <c r="G280" t="str">
        <f>_xlfn.XLOOKUP(B280, Properties!A:A, Properties!B:B, FALSE)</f>
        <v>Novi Sad</v>
      </c>
      <c r="H280" t="str">
        <f>_xlfn.XLOOKUP(C280, Agents!A:A, Agents!B:B, FALSE)</f>
        <v>Mina Lukic</v>
      </c>
      <c r="I280" t="str">
        <f t="shared" si="20"/>
        <v>2024-07</v>
      </c>
      <c r="J280" s="5" t="str">
        <f t="shared" si="21"/>
        <v>Standard</v>
      </c>
      <c r="K280" s="5" t="str">
        <f t="shared" si="22"/>
        <v>Medium</v>
      </c>
      <c r="L280" s="5" t="str">
        <f t="shared" si="23"/>
        <v>No</v>
      </c>
      <c r="M280" s="5" t="str">
        <f t="shared" si="24"/>
        <v>Ok</v>
      </c>
      <c r="N280" s="3">
        <f>_xlfn.XLOOKUP(B280, Properties!A:A, Properties!D:D, FALSE)</f>
        <v>151275</v>
      </c>
    </row>
    <row r="281" spans="1:14" x14ac:dyDescent="0.3">
      <c r="A281">
        <v>186</v>
      </c>
      <c r="B281">
        <v>83</v>
      </c>
      <c r="C281">
        <v>6</v>
      </c>
      <c r="D281" s="3">
        <v>148211</v>
      </c>
      <c r="E281" t="s">
        <v>257</v>
      </c>
      <c r="F281" s="1" t="s">
        <v>335</v>
      </c>
      <c r="G281" t="str">
        <f>_xlfn.XLOOKUP(B281, Properties!A:A, Properties!B:B, FALSE)</f>
        <v>Nis</v>
      </c>
      <c r="H281" t="str">
        <f>_xlfn.XLOOKUP(C281, Agents!A:A, Agents!B:B, FALSE)</f>
        <v>Marko Jovic</v>
      </c>
      <c r="I281" t="str">
        <f t="shared" si="20"/>
        <v>2024-06</v>
      </c>
      <c r="J281" s="5" t="str">
        <f t="shared" si="21"/>
        <v>Standard</v>
      </c>
      <c r="K281" s="5" t="str">
        <f t="shared" si="22"/>
        <v>Low</v>
      </c>
      <c r="L281" s="5" t="str">
        <f t="shared" si="23"/>
        <v>No</v>
      </c>
      <c r="M281" s="5" t="str">
        <f t="shared" si="24"/>
        <v>Attention Needed</v>
      </c>
      <c r="N281" s="3">
        <f>_xlfn.XLOOKUP(B281, Properties!A:A, Properties!D:D, FALSE)</f>
        <v>207002</v>
      </c>
    </row>
    <row r="282" spans="1:14" x14ac:dyDescent="0.3">
      <c r="A282">
        <v>129</v>
      </c>
      <c r="B282">
        <v>198</v>
      </c>
      <c r="C282">
        <v>2</v>
      </c>
      <c r="D282" s="3">
        <v>147722</v>
      </c>
      <c r="E282" t="s">
        <v>256</v>
      </c>
      <c r="F282" s="1" t="s">
        <v>155</v>
      </c>
      <c r="G282" t="str">
        <f>_xlfn.XLOOKUP(B282, Properties!A:A, Properties!B:B, FALSE)</f>
        <v>Becej</v>
      </c>
      <c r="H282" t="str">
        <f>_xlfn.XLOOKUP(C282, Agents!A:A, Agents!B:B, FALSE)</f>
        <v>Jelena Petrovic</v>
      </c>
      <c r="I282" t="str">
        <f t="shared" si="20"/>
        <v>2024-01</v>
      </c>
      <c r="J282" s="5" t="str">
        <f t="shared" si="21"/>
        <v>Standard</v>
      </c>
      <c r="K282" s="5" t="str">
        <f t="shared" si="22"/>
        <v>Low</v>
      </c>
      <c r="L282" s="5" t="str">
        <f t="shared" si="23"/>
        <v>No</v>
      </c>
      <c r="M282" s="5" t="str">
        <f t="shared" si="24"/>
        <v>Attention Needed</v>
      </c>
      <c r="N282" s="3">
        <f>_xlfn.XLOOKUP(B282, Properties!A:A, Properties!D:D, FALSE)</f>
        <v>222360</v>
      </c>
    </row>
    <row r="283" spans="1:14" x14ac:dyDescent="0.3">
      <c r="A283">
        <v>176</v>
      </c>
      <c r="B283">
        <v>90</v>
      </c>
      <c r="C283">
        <v>6</v>
      </c>
      <c r="D283" s="3">
        <v>147567</v>
      </c>
      <c r="E283" t="s">
        <v>257</v>
      </c>
      <c r="F283" s="1" t="s">
        <v>330</v>
      </c>
      <c r="G283" t="str">
        <f>_xlfn.XLOOKUP(B283, Properties!A:A, Properties!B:B, FALSE)</f>
        <v>Belgrade</v>
      </c>
      <c r="H283" t="str">
        <f>_xlfn.XLOOKUP(C283, Agents!A:A, Agents!B:B, FALSE)</f>
        <v>Marko Jovic</v>
      </c>
      <c r="I283" t="str">
        <f t="shared" si="20"/>
        <v>2024-03</v>
      </c>
      <c r="J283" s="5" t="str">
        <f t="shared" si="21"/>
        <v>Standard</v>
      </c>
      <c r="K283" s="5" t="str">
        <f t="shared" si="22"/>
        <v>Low</v>
      </c>
      <c r="L283" s="5" t="str">
        <f t="shared" si="23"/>
        <v>No</v>
      </c>
      <c r="M283" s="5" t="str">
        <f t="shared" si="24"/>
        <v>Attention Needed</v>
      </c>
      <c r="N283" s="3">
        <f>_xlfn.XLOOKUP(B283, Properties!A:A, Properties!D:D, FALSE)</f>
        <v>150136</v>
      </c>
    </row>
    <row r="284" spans="1:14" x14ac:dyDescent="0.3">
      <c r="A284">
        <v>313</v>
      </c>
      <c r="B284">
        <v>161</v>
      </c>
      <c r="C284">
        <v>7</v>
      </c>
      <c r="D284" s="3">
        <v>146011</v>
      </c>
      <c r="E284" t="s">
        <v>259</v>
      </c>
      <c r="F284" s="1" t="s">
        <v>272</v>
      </c>
      <c r="G284" t="str">
        <f>_xlfn.XLOOKUP(B284, Properties!A:A, Properties!B:B, FALSE)</f>
        <v>Subotica</v>
      </c>
      <c r="H284" t="str">
        <f>_xlfn.XLOOKUP(C284, Agents!A:A, Agents!B:B, FALSE)</f>
        <v>Ana Markovic</v>
      </c>
      <c r="I284" t="str">
        <f t="shared" si="20"/>
        <v>2025-01</v>
      </c>
      <c r="J284" s="5" t="str">
        <f t="shared" si="21"/>
        <v>Standard</v>
      </c>
      <c r="K284" s="5" t="str">
        <f t="shared" si="22"/>
        <v>Low</v>
      </c>
      <c r="L284" s="5" t="str">
        <f t="shared" si="23"/>
        <v>No</v>
      </c>
      <c r="M284" s="5" t="str">
        <f t="shared" si="24"/>
        <v>Ok</v>
      </c>
      <c r="N284" s="3">
        <f>_xlfn.XLOOKUP(B284, Properties!A:A, Properties!D:D, FALSE)</f>
        <v>66273</v>
      </c>
    </row>
    <row r="285" spans="1:14" x14ac:dyDescent="0.3">
      <c r="A285">
        <v>293</v>
      </c>
      <c r="B285">
        <v>155</v>
      </c>
      <c r="C285">
        <v>3</v>
      </c>
      <c r="D285" s="3">
        <v>145890</v>
      </c>
      <c r="E285" t="s">
        <v>257</v>
      </c>
      <c r="F285" s="1" t="s">
        <v>372</v>
      </c>
      <c r="G285" t="str">
        <f>_xlfn.XLOOKUP(B285, Properties!A:A, Properties!B:B, FALSE)</f>
        <v>Nis</v>
      </c>
      <c r="H285" t="str">
        <f>_xlfn.XLOOKUP(C285, Agents!A:A, Agents!B:B, FALSE)</f>
        <v>Ivan Stankovic</v>
      </c>
      <c r="I285" t="str">
        <f t="shared" si="20"/>
        <v>2024-07</v>
      </c>
      <c r="J285" s="5" t="str">
        <f t="shared" si="21"/>
        <v>Standard</v>
      </c>
      <c r="K285" s="5" t="str">
        <f t="shared" si="22"/>
        <v>Low</v>
      </c>
      <c r="L285" s="5" t="str">
        <f t="shared" si="23"/>
        <v>No</v>
      </c>
      <c r="M285" s="5" t="str">
        <f t="shared" si="24"/>
        <v>Attention Needed</v>
      </c>
      <c r="N285" s="3">
        <f>_xlfn.XLOOKUP(B285, Properties!A:A, Properties!D:D, FALSE)</f>
        <v>71722</v>
      </c>
    </row>
    <row r="286" spans="1:14" x14ac:dyDescent="0.3">
      <c r="A286">
        <v>378</v>
      </c>
      <c r="B286">
        <v>266</v>
      </c>
      <c r="C286">
        <v>9</v>
      </c>
      <c r="D286" s="3">
        <v>145884</v>
      </c>
      <c r="E286" t="s">
        <v>257</v>
      </c>
      <c r="F286" s="1" t="s">
        <v>228</v>
      </c>
      <c r="G286" t="str">
        <f>_xlfn.XLOOKUP(B286, Properties!A:A, Properties!B:B, FALSE)</f>
        <v>Novi Sad</v>
      </c>
      <c r="H286" t="str">
        <f>_xlfn.XLOOKUP(C286, Agents!A:A, Agents!B:B, FALSE)</f>
        <v>Ivan Stankovic</v>
      </c>
      <c r="I286" t="str">
        <f t="shared" si="20"/>
        <v>2024-08</v>
      </c>
      <c r="J286" s="5" t="str">
        <f t="shared" si="21"/>
        <v>Standard</v>
      </c>
      <c r="K286" s="5" t="str">
        <f t="shared" si="22"/>
        <v>Low</v>
      </c>
      <c r="L286" s="5" t="str">
        <f t="shared" si="23"/>
        <v>No</v>
      </c>
      <c r="M286" s="5" t="str">
        <f t="shared" si="24"/>
        <v>Attention Needed</v>
      </c>
      <c r="N286" s="3">
        <f>_xlfn.XLOOKUP(B286, Properties!A:A, Properties!D:D, FALSE)</f>
        <v>193219</v>
      </c>
    </row>
    <row r="287" spans="1:14" x14ac:dyDescent="0.3">
      <c r="A287">
        <v>412</v>
      </c>
      <c r="B287">
        <v>22</v>
      </c>
      <c r="C287">
        <v>8</v>
      </c>
      <c r="D287" s="3">
        <v>144578</v>
      </c>
      <c r="E287" t="s">
        <v>257</v>
      </c>
      <c r="F287" s="1" t="s">
        <v>405</v>
      </c>
      <c r="G287" t="str">
        <f>_xlfn.XLOOKUP(B287, Properties!A:A, Properties!B:B, FALSE)</f>
        <v>Novi Sad</v>
      </c>
      <c r="H287" t="str">
        <f>_xlfn.XLOOKUP(C287, Agents!A:A, Agents!B:B, FALSE)</f>
        <v>Mina Lukic</v>
      </c>
      <c r="I287" t="str">
        <f t="shared" si="20"/>
        <v>2024-08</v>
      </c>
      <c r="J287" s="5" t="str">
        <f t="shared" si="21"/>
        <v>Standard</v>
      </c>
      <c r="K287" s="5" t="str">
        <f t="shared" si="22"/>
        <v>Low</v>
      </c>
      <c r="L287" s="5" t="str">
        <f t="shared" si="23"/>
        <v>No</v>
      </c>
      <c r="M287" s="5" t="str">
        <f t="shared" si="24"/>
        <v>Attention Needed</v>
      </c>
      <c r="N287" s="3">
        <f>_xlfn.XLOOKUP(B287, Properties!A:A, Properties!D:D, FALSE)</f>
        <v>151178</v>
      </c>
    </row>
    <row r="288" spans="1:14" x14ac:dyDescent="0.3">
      <c r="A288">
        <v>267</v>
      </c>
      <c r="B288">
        <v>282</v>
      </c>
      <c r="C288">
        <v>8</v>
      </c>
      <c r="D288" s="3">
        <v>144510</v>
      </c>
      <c r="E288" t="s">
        <v>257</v>
      </c>
      <c r="F288" s="1" t="s">
        <v>368</v>
      </c>
      <c r="G288" t="str">
        <f>_xlfn.XLOOKUP(B288, Properties!A:A, Properties!B:B, FALSE)</f>
        <v>Nis</v>
      </c>
      <c r="H288" t="str">
        <f>_xlfn.XLOOKUP(C288, Agents!A:A, Agents!B:B, FALSE)</f>
        <v>Mina Lukic</v>
      </c>
      <c r="I288" t="str">
        <f t="shared" si="20"/>
        <v>2025-01</v>
      </c>
      <c r="J288" s="5" t="str">
        <f t="shared" si="21"/>
        <v>Standard</v>
      </c>
      <c r="K288" s="5" t="str">
        <f t="shared" si="22"/>
        <v>Low</v>
      </c>
      <c r="L288" s="5" t="str">
        <f t="shared" si="23"/>
        <v>No</v>
      </c>
      <c r="M288" s="5" t="str">
        <f t="shared" si="24"/>
        <v>Attention Needed</v>
      </c>
      <c r="N288" s="3">
        <f>_xlfn.XLOOKUP(B288, Properties!A:A, Properties!D:D, FALSE)</f>
        <v>120472</v>
      </c>
    </row>
    <row r="289" spans="1:14" x14ac:dyDescent="0.3">
      <c r="A289">
        <v>276</v>
      </c>
      <c r="B289">
        <v>131</v>
      </c>
      <c r="C289">
        <v>1</v>
      </c>
      <c r="D289" s="3">
        <v>144243</v>
      </c>
      <c r="E289" t="s">
        <v>257</v>
      </c>
      <c r="F289" s="1" t="s">
        <v>80</v>
      </c>
      <c r="G289" t="str">
        <f>_xlfn.XLOOKUP(B289, Properties!A:A, Properties!B:B, FALSE)</f>
        <v>Belgrade</v>
      </c>
      <c r="H289" t="str">
        <f>_xlfn.XLOOKUP(C289, Agents!A:A, Agents!B:B, FALSE)</f>
        <v>Ana Markovic</v>
      </c>
      <c r="I289" t="str">
        <f t="shared" si="20"/>
        <v>2024-10</v>
      </c>
      <c r="J289" s="5" t="str">
        <f t="shared" si="21"/>
        <v>Standard</v>
      </c>
      <c r="K289" s="5" t="str">
        <f t="shared" si="22"/>
        <v>Low</v>
      </c>
      <c r="L289" s="5" t="str">
        <f t="shared" si="23"/>
        <v>No</v>
      </c>
      <c r="M289" s="5" t="str">
        <f t="shared" si="24"/>
        <v>Attention Needed</v>
      </c>
      <c r="N289" s="3">
        <f>_xlfn.XLOOKUP(B289, Properties!A:A, Properties!D:D, FALSE)</f>
        <v>125478</v>
      </c>
    </row>
    <row r="290" spans="1:14" x14ac:dyDescent="0.3">
      <c r="A290">
        <v>290</v>
      </c>
      <c r="B290">
        <v>225</v>
      </c>
      <c r="C290">
        <v>4</v>
      </c>
      <c r="D290" s="3">
        <v>143911</v>
      </c>
      <c r="E290" t="s">
        <v>257</v>
      </c>
      <c r="F290" s="1" t="s">
        <v>42</v>
      </c>
      <c r="G290" t="str">
        <f>_xlfn.XLOOKUP(B290, Properties!A:A, Properties!B:B, FALSE)</f>
        <v>Belgrade</v>
      </c>
      <c r="H290" t="str">
        <f>_xlfn.XLOOKUP(C290, Agents!A:A, Agents!B:B, FALSE)</f>
        <v>Marko Jovic</v>
      </c>
      <c r="I290" t="str">
        <f t="shared" si="20"/>
        <v>2025-01</v>
      </c>
      <c r="J290" s="5" t="str">
        <f t="shared" si="21"/>
        <v>Standard</v>
      </c>
      <c r="K290" s="5" t="str">
        <f t="shared" si="22"/>
        <v>Low</v>
      </c>
      <c r="L290" s="5" t="str">
        <f t="shared" si="23"/>
        <v>No</v>
      </c>
      <c r="M290" s="5" t="str">
        <f t="shared" si="24"/>
        <v>Attention Needed</v>
      </c>
      <c r="N290" s="3">
        <f>_xlfn.XLOOKUP(B290, Properties!A:A, Properties!D:D, FALSE)</f>
        <v>212823</v>
      </c>
    </row>
    <row r="291" spans="1:14" x14ac:dyDescent="0.3">
      <c r="A291">
        <v>305</v>
      </c>
      <c r="B291">
        <v>21</v>
      </c>
      <c r="C291">
        <v>2</v>
      </c>
      <c r="D291" s="3">
        <v>143779</v>
      </c>
      <c r="E291" t="s">
        <v>259</v>
      </c>
      <c r="F291" s="1" t="s">
        <v>199</v>
      </c>
      <c r="G291" t="str">
        <f>_xlfn.XLOOKUP(B291, Properties!A:A, Properties!B:B, FALSE)</f>
        <v>Belgrade</v>
      </c>
      <c r="H291" t="str">
        <f>_xlfn.XLOOKUP(C291, Agents!A:A, Agents!B:B, FALSE)</f>
        <v>Jelena Petrovic</v>
      </c>
      <c r="I291" t="str">
        <f t="shared" si="20"/>
        <v>2024-09</v>
      </c>
      <c r="J291" s="5" t="str">
        <f t="shared" si="21"/>
        <v>Standard</v>
      </c>
      <c r="K291" s="5" t="str">
        <f t="shared" si="22"/>
        <v>Low</v>
      </c>
      <c r="L291" s="5" t="str">
        <f t="shared" si="23"/>
        <v>No</v>
      </c>
      <c r="M291" s="5" t="str">
        <f t="shared" si="24"/>
        <v>Ok</v>
      </c>
      <c r="N291" s="3">
        <f>_xlfn.XLOOKUP(B291, Properties!A:A, Properties!D:D, FALSE)</f>
        <v>170021</v>
      </c>
    </row>
    <row r="292" spans="1:14" x14ac:dyDescent="0.3">
      <c r="A292">
        <v>458</v>
      </c>
      <c r="B292">
        <v>35</v>
      </c>
      <c r="C292">
        <v>1</v>
      </c>
      <c r="D292" s="3">
        <v>143111</v>
      </c>
      <c r="E292" t="s">
        <v>256</v>
      </c>
      <c r="F292" s="1" t="s">
        <v>298</v>
      </c>
      <c r="G292" t="str">
        <f>_xlfn.XLOOKUP(B292, Properties!A:A, Properties!B:B, FALSE)</f>
        <v>Nis</v>
      </c>
      <c r="H292" t="str">
        <f>_xlfn.XLOOKUP(C292, Agents!A:A, Agents!B:B, FALSE)</f>
        <v>Ana Markovic</v>
      </c>
      <c r="I292" t="str">
        <f t="shared" si="20"/>
        <v>2024-01</v>
      </c>
      <c r="J292" s="5" t="str">
        <f t="shared" si="21"/>
        <v>Standard</v>
      </c>
      <c r="K292" s="5" t="str">
        <f t="shared" si="22"/>
        <v>Low</v>
      </c>
      <c r="L292" s="5" t="str">
        <f t="shared" si="23"/>
        <v>No</v>
      </c>
      <c r="M292" s="5" t="str">
        <f t="shared" si="24"/>
        <v>Attention Needed</v>
      </c>
      <c r="N292" s="3">
        <f>_xlfn.XLOOKUP(B292, Properties!A:A, Properties!D:D, FALSE)</f>
        <v>175024</v>
      </c>
    </row>
    <row r="293" spans="1:14" x14ac:dyDescent="0.3">
      <c r="A293">
        <v>72</v>
      </c>
      <c r="B293">
        <v>227</v>
      </c>
      <c r="C293">
        <v>7</v>
      </c>
      <c r="D293" s="3">
        <v>143020</v>
      </c>
      <c r="E293" t="s">
        <v>256</v>
      </c>
      <c r="F293" s="1" t="s">
        <v>42</v>
      </c>
      <c r="G293" t="str">
        <f>_xlfn.XLOOKUP(B293, Properties!A:A, Properties!B:B, FALSE)</f>
        <v>Belgrade</v>
      </c>
      <c r="H293" t="str">
        <f>_xlfn.XLOOKUP(C293, Agents!A:A, Agents!B:B, FALSE)</f>
        <v>Ana Markovic</v>
      </c>
      <c r="I293" t="str">
        <f t="shared" si="20"/>
        <v>2025-01</v>
      </c>
      <c r="J293" s="5" t="str">
        <f t="shared" si="21"/>
        <v>Standard</v>
      </c>
      <c r="K293" s="5" t="str">
        <f t="shared" si="22"/>
        <v>Low</v>
      </c>
      <c r="L293" s="5" t="str">
        <f t="shared" si="23"/>
        <v>No</v>
      </c>
      <c r="M293" s="5" t="str">
        <f t="shared" si="24"/>
        <v>Attention Needed</v>
      </c>
      <c r="N293" s="3">
        <f>_xlfn.XLOOKUP(B293, Properties!A:A, Properties!D:D, FALSE)</f>
        <v>153049</v>
      </c>
    </row>
    <row r="294" spans="1:14" x14ac:dyDescent="0.3">
      <c r="A294">
        <v>67</v>
      </c>
      <c r="B294">
        <v>73</v>
      </c>
      <c r="C294">
        <v>1</v>
      </c>
      <c r="D294" s="3">
        <v>142791</v>
      </c>
      <c r="E294" t="s">
        <v>259</v>
      </c>
      <c r="F294" s="1" t="s">
        <v>283</v>
      </c>
      <c r="G294" t="str">
        <f>_xlfn.XLOOKUP(B294, Properties!A:A, Properties!B:B, FALSE)</f>
        <v>Becej</v>
      </c>
      <c r="H294" t="str">
        <f>_xlfn.XLOOKUP(C294, Agents!A:A, Agents!B:B, FALSE)</f>
        <v>Ana Markovic</v>
      </c>
      <c r="I294" t="str">
        <f t="shared" si="20"/>
        <v>2024-07</v>
      </c>
      <c r="J294" s="5" t="str">
        <f t="shared" si="21"/>
        <v>Standard</v>
      </c>
      <c r="K294" s="5" t="str">
        <f t="shared" si="22"/>
        <v>Low</v>
      </c>
      <c r="L294" s="5" t="str">
        <f t="shared" si="23"/>
        <v>No</v>
      </c>
      <c r="M294" s="5" t="str">
        <f t="shared" si="24"/>
        <v>Ok</v>
      </c>
      <c r="N294" s="3">
        <f>_xlfn.XLOOKUP(B294, Properties!A:A, Properties!D:D, FALSE)</f>
        <v>135130</v>
      </c>
    </row>
    <row r="295" spans="1:14" x14ac:dyDescent="0.3">
      <c r="A295">
        <v>390</v>
      </c>
      <c r="B295">
        <v>220</v>
      </c>
      <c r="C295">
        <v>7</v>
      </c>
      <c r="D295" s="3">
        <v>142615</v>
      </c>
      <c r="E295" t="s">
        <v>259</v>
      </c>
      <c r="F295" s="1" t="s">
        <v>370</v>
      </c>
      <c r="G295" t="str">
        <f>_xlfn.XLOOKUP(B295, Properties!A:A, Properties!B:B, FALSE)</f>
        <v>Becej</v>
      </c>
      <c r="H295" t="str">
        <f>_xlfn.XLOOKUP(C295, Agents!A:A, Agents!B:B, FALSE)</f>
        <v>Ana Markovic</v>
      </c>
      <c r="I295" t="str">
        <f t="shared" si="20"/>
        <v>2024-04</v>
      </c>
      <c r="J295" s="5" t="str">
        <f t="shared" si="21"/>
        <v>Standard</v>
      </c>
      <c r="K295" s="5" t="str">
        <f t="shared" si="22"/>
        <v>Low</v>
      </c>
      <c r="L295" s="5" t="str">
        <f t="shared" si="23"/>
        <v>No</v>
      </c>
      <c r="M295" s="5" t="str">
        <f t="shared" si="24"/>
        <v>Ok</v>
      </c>
      <c r="N295" s="3">
        <f>_xlfn.XLOOKUP(B295, Properties!A:A, Properties!D:D, FALSE)</f>
        <v>219945</v>
      </c>
    </row>
    <row r="296" spans="1:14" x14ac:dyDescent="0.3">
      <c r="A296">
        <v>446</v>
      </c>
      <c r="B296">
        <v>85</v>
      </c>
      <c r="C296">
        <v>8</v>
      </c>
      <c r="D296" s="3">
        <v>141702</v>
      </c>
      <c r="E296" t="s">
        <v>256</v>
      </c>
      <c r="F296" s="1" t="s">
        <v>25</v>
      </c>
      <c r="G296" t="str">
        <f>_xlfn.XLOOKUP(B296, Properties!A:A, Properties!B:B, FALSE)</f>
        <v>Nis</v>
      </c>
      <c r="H296" t="str">
        <f>_xlfn.XLOOKUP(C296, Agents!A:A, Agents!B:B, FALSE)</f>
        <v>Mina Lukic</v>
      </c>
      <c r="I296" t="str">
        <f t="shared" si="20"/>
        <v>2024-11</v>
      </c>
      <c r="J296" s="5" t="str">
        <f t="shared" si="21"/>
        <v>Standard</v>
      </c>
      <c r="K296" s="5" t="str">
        <f t="shared" si="22"/>
        <v>Low</v>
      </c>
      <c r="L296" s="5" t="str">
        <f t="shared" si="23"/>
        <v>No</v>
      </c>
      <c r="M296" s="5" t="str">
        <f t="shared" si="24"/>
        <v>Attention Needed</v>
      </c>
      <c r="N296" s="3">
        <f>_xlfn.XLOOKUP(B296, Properties!A:A, Properties!D:D, FALSE)</f>
        <v>181760</v>
      </c>
    </row>
    <row r="297" spans="1:14" x14ac:dyDescent="0.3">
      <c r="A297">
        <v>33</v>
      </c>
      <c r="B297">
        <v>233</v>
      </c>
      <c r="C297">
        <v>2</v>
      </c>
      <c r="D297" s="3">
        <v>141204</v>
      </c>
      <c r="E297" t="s">
        <v>257</v>
      </c>
      <c r="F297" s="1" t="s">
        <v>47</v>
      </c>
      <c r="G297" t="str">
        <f>_xlfn.XLOOKUP(B297, Properties!A:A, Properties!B:B, FALSE)</f>
        <v>Belgrade</v>
      </c>
      <c r="H297" t="str">
        <f>_xlfn.XLOOKUP(C297, Agents!A:A, Agents!B:B, FALSE)</f>
        <v>Jelena Petrovic</v>
      </c>
      <c r="I297" t="str">
        <f t="shared" si="20"/>
        <v>2024-11</v>
      </c>
      <c r="J297" s="5" t="str">
        <f t="shared" si="21"/>
        <v>Standard</v>
      </c>
      <c r="K297" s="5" t="str">
        <f t="shared" si="22"/>
        <v>Low</v>
      </c>
      <c r="L297" s="5" t="str">
        <f t="shared" si="23"/>
        <v>No</v>
      </c>
      <c r="M297" s="5" t="str">
        <f t="shared" si="24"/>
        <v>Attention Needed</v>
      </c>
      <c r="N297" s="3">
        <f>_xlfn.XLOOKUP(B297, Properties!A:A, Properties!D:D, FALSE)</f>
        <v>188942</v>
      </c>
    </row>
    <row r="298" spans="1:14" x14ac:dyDescent="0.3">
      <c r="A298">
        <v>192</v>
      </c>
      <c r="B298">
        <v>296</v>
      </c>
      <c r="C298">
        <v>5</v>
      </c>
      <c r="D298" s="3">
        <v>140524</v>
      </c>
      <c r="E298" t="s">
        <v>257</v>
      </c>
      <c r="F298" s="1" t="s">
        <v>338</v>
      </c>
      <c r="G298" t="str">
        <f>_xlfn.XLOOKUP(B298, Properties!A:A, Properties!B:B, FALSE)</f>
        <v>Becej</v>
      </c>
      <c r="H298" t="str">
        <f>_xlfn.XLOOKUP(C298, Agents!A:A, Agents!B:B, FALSE)</f>
        <v>Mina Lukic</v>
      </c>
      <c r="I298" t="str">
        <f t="shared" si="20"/>
        <v>2025-01</v>
      </c>
      <c r="J298" s="5" t="str">
        <f t="shared" si="21"/>
        <v>Standard</v>
      </c>
      <c r="K298" s="5" t="str">
        <f t="shared" si="22"/>
        <v>Low</v>
      </c>
      <c r="L298" s="5" t="str">
        <f t="shared" si="23"/>
        <v>No</v>
      </c>
      <c r="M298" s="5" t="str">
        <f t="shared" si="24"/>
        <v>Attention Needed</v>
      </c>
      <c r="N298" s="3">
        <f>_xlfn.XLOOKUP(B298, Properties!A:A, Properties!D:D, FALSE)</f>
        <v>191863</v>
      </c>
    </row>
    <row r="299" spans="1:14" x14ac:dyDescent="0.3">
      <c r="A299">
        <v>235</v>
      </c>
      <c r="B299">
        <v>153</v>
      </c>
      <c r="C299">
        <v>5</v>
      </c>
      <c r="D299" s="3">
        <v>138673</v>
      </c>
      <c r="E299" t="s">
        <v>257</v>
      </c>
      <c r="F299" s="1" t="s">
        <v>355</v>
      </c>
      <c r="G299" t="str">
        <f>_xlfn.XLOOKUP(B299, Properties!A:A, Properties!B:B, FALSE)</f>
        <v>Becej</v>
      </c>
      <c r="H299" t="str">
        <f>_xlfn.XLOOKUP(C299, Agents!A:A, Agents!B:B, FALSE)</f>
        <v>Mina Lukic</v>
      </c>
      <c r="I299" t="str">
        <f t="shared" si="20"/>
        <v>2024-12</v>
      </c>
      <c r="J299" s="5" t="str">
        <f t="shared" si="21"/>
        <v>Standard</v>
      </c>
      <c r="K299" s="5" t="str">
        <f t="shared" si="22"/>
        <v>Low</v>
      </c>
      <c r="L299" s="5" t="str">
        <f t="shared" si="23"/>
        <v>No</v>
      </c>
      <c r="M299" s="5" t="str">
        <f t="shared" si="24"/>
        <v>Attention Needed</v>
      </c>
      <c r="N299" s="3">
        <f>_xlfn.XLOOKUP(B299, Properties!A:A, Properties!D:D, FALSE)</f>
        <v>227984</v>
      </c>
    </row>
    <row r="300" spans="1:14" x14ac:dyDescent="0.3">
      <c r="A300">
        <v>35</v>
      </c>
      <c r="B300">
        <v>290</v>
      </c>
      <c r="C300">
        <v>4</v>
      </c>
      <c r="D300" s="3">
        <v>138610</v>
      </c>
      <c r="E300" t="s">
        <v>259</v>
      </c>
      <c r="F300" s="1" t="s">
        <v>271</v>
      </c>
      <c r="G300" t="str">
        <f>_xlfn.XLOOKUP(B300, Properties!A:A, Properties!B:B, FALSE)</f>
        <v>Becej</v>
      </c>
      <c r="H300" t="str">
        <f>_xlfn.XLOOKUP(C300, Agents!A:A, Agents!B:B, FALSE)</f>
        <v>Marko Jovic</v>
      </c>
      <c r="I300" t="str">
        <f t="shared" si="20"/>
        <v>2024-10</v>
      </c>
      <c r="J300" s="5" t="str">
        <f t="shared" si="21"/>
        <v>Standard</v>
      </c>
      <c r="K300" s="5" t="str">
        <f t="shared" si="22"/>
        <v>Low</v>
      </c>
      <c r="L300" s="5" t="str">
        <f t="shared" si="23"/>
        <v>No</v>
      </c>
      <c r="M300" s="5" t="str">
        <f t="shared" si="24"/>
        <v>Ok</v>
      </c>
      <c r="N300" s="3">
        <f>_xlfn.XLOOKUP(B300, Properties!A:A, Properties!D:D, FALSE)</f>
        <v>167874</v>
      </c>
    </row>
    <row r="301" spans="1:14" x14ac:dyDescent="0.3">
      <c r="A301">
        <v>382</v>
      </c>
      <c r="B301">
        <v>160</v>
      </c>
      <c r="C301">
        <v>6</v>
      </c>
      <c r="D301" s="3">
        <v>138458</v>
      </c>
      <c r="E301" t="s">
        <v>256</v>
      </c>
      <c r="F301" s="1" t="s">
        <v>397</v>
      </c>
      <c r="G301" t="str">
        <f>_xlfn.XLOOKUP(B301, Properties!A:A, Properties!B:B, FALSE)</f>
        <v>Subotica</v>
      </c>
      <c r="H301" t="str">
        <f>_xlfn.XLOOKUP(C301, Agents!A:A, Agents!B:B, FALSE)</f>
        <v>Marko Jovic</v>
      </c>
      <c r="I301" t="str">
        <f t="shared" si="20"/>
        <v>2024-09</v>
      </c>
      <c r="J301" s="5" t="str">
        <f t="shared" si="21"/>
        <v>Standard</v>
      </c>
      <c r="K301" s="5" t="str">
        <f t="shared" si="22"/>
        <v>Low</v>
      </c>
      <c r="L301" s="5" t="str">
        <f t="shared" si="23"/>
        <v>No</v>
      </c>
      <c r="M301" s="5" t="str">
        <f t="shared" si="24"/>
        <v>Attention Needed</v>
      </c>
      <c r="N301" s="3">
        <f>_xlfn.XLOOKUP(B301, Properties!A:A, Properties!D:D, FALSE)</f>
        <v>101228</v>
      </c>
    </row>
    <row r="302" spans="1:14" x14ac:dyDescent="0.3">
      <c r="A302">
        <v>308</v>
      </c>
      <c r="B302">
        <v>125</v>
      </c>
      <c r="C302">
        <v>10</v>
      </c>
      <c r="D302" s="3">
        <v>137223</v>
      </c>
      <c r="E302" t="s">
        <v>257</v>
      </c>
      <c r="F302" s="1" t="s">
        <v>326</v>
      </c>
      <c r="G302" t="str">
        <f>_xlfn.XLOOKUP(B302, Properties!A:A, Properties!B:B, FALSE)</f>
        <v>Subotica</v>
      </c>
      <c r="H302" t="str">
        <f>_xlfn.XLOOKUP(C302, Agents!A:A, Agents!B:B, FALSE)</f>
        <v>Marko Jovic</v>
      </c>
      <c r="I302" t="str">
        <f t="shared" si="20"/>
        <v>2024-07</v>
      </c>
      <c r="J302" s="5" t="str">
        <f t="shared" si="21"/>
        <v>Standard</v>
      </c>
      <c r="K302" s="5" t="str">
        <f t="shared" si="22"/>
        <v>Low</v>
      </c>
      <c r="L302" s="5" t="str">
        <f t="shared" si="23"/>
        <v>No</v>
      </c>
      <c r="M302" s="5" t="str">
        <f t="shared" si="24"/>
        <v>Attention Needed</v>
      </c>
      <c r="N302" s="3">
        <f>_xlfn.XLOOKUP(B302, Properties!A:A, Properties!D:D, FALSE)</f>
        <v>182198</v>
      </c>
    </row>
    <row r="303" spans="1:14" x14ac:dyDescent="0.3">
      <c r="A303">
        <v>312</v>
      </c>
      <c r="B303">
        <v>51</v>
      </c>
      <c r="C303">
        <v>8</v>
      </c>
      <c r="D303" s="3">
        <v>136497</v>
      </c>
      <c r="E303" t="s">
        <v>256</v>
      </c>
      <c r="F303" s="1" t="s">
        <v>94</v>
      </c>
      <c r="G303" t="str">
        <f>_xlfn.XLOOKUP(B303, Properties!A:A, Properties!B:B, FALSE)</f>
        <v>Nis</v>
      </c>
      <c r="H303" t="str">
        <f>_xlfn.XLOOKUP(C303, Agents!A:A, Agents!B:B, FALSE)</f>
        <v>Mina Lukic</v>
      </c>
      <c r="I303" t="str">
        <f t="shared" si="20"/>
        <v>2024-07</v>
      </c>
      <c r="J303" s="5" t="str">
        <f t="shared" si="21"/>
        <v>Standard</v>
      </c>
      <c r="K303" s="5" t="str">
        <f t="shared" si="22"/>
        <v>Low</v>
      </c>
      <c r="L303" s="5" t="str">
        <f t="shared" si="23"/>
        <v>No</v>
      </c>
      <c r="M303" s="5" t="str">
        <f t="shared" si="24"/>
        <v>Attention Needed</v>
      </c>
      <c r="N303" s="3">
        <f>_xlfn.XLOOKUP(B303, Properties!A:A, Properties!D:D, FALSE)</f>
        <v>216895</v>
      </c>
    </row>
    <row r="304" spans="1:14" x14ac:dyDescent="0.3">
      <c r="A304">
        <v>240</v>
      </c>
      <c r="B304">
        <v>132</v>
      </c>
      <c r="C304">
        <v>8</v>
      </c>
      <c r="D304" s="3">
        <v>135941</v>
      </c>
      <c r="E304" t="s">
        <v>259</v>
      </c>
      <c r="F304" s="1" t="s">
        <v>359</v>
      </c>
      <c r="G304" t="str">
        <f>_xlfn.XLOOKUP(B304, Properties!A:A, Properties!B:B, FALSE)</f>
        <v>Belgrade</v>
      </c>
      <c r="H304" t="str">
        <f>_xlfn.XLOOKUP(C304, Agents!A:A, Agents!B:B, FALSE)</f>
        <v>Mina Lukic</v>
      </c>
      <c r="I304" t="str">
        <f t="shared" si="20"/>
        <v>2025-02</v>
      </c>
      <c r="J304" s="5" t="str">
        <f t="shared" si="21"/>
        <v>Standard</v>
      </c>
      <c r="K304" s="5" t="str">
        <f t="shared" si="22"/>
        <v>Low</v>
      </c>
      <c r="L304" s="5" t="str">
        <f t="shared" si="23"/>
        <v>No</v>
      </c>
      <c r="M304" s="5" t="str">
        <f t="shared" si="24"/>
        <v>Ok</v>
      </c>
      <c r="N304" s="3">
        <f>_xlfn.XLOOKUP(B304, Properties!A:A, Properties!D:D, FALSE)</f>
        <v>193356</v>
      </c>
    </row>
    <row r="305" spans="1:14" x14ac:dyDescent="0.3">
      <c r="A305">
        <v>363</v>
      </c>
      <c r="B305">
        <v>70</v>
      </c>
      <c r="C305">
        <v>5</v>
      </c>
      <c r="D305" s="3">
        <v>135304</v>
      </c>
      <c r="E305" t="s">
        <v>256</v>
      </c>
      <c r="F305" s="1" t="s">
        <v>199</v>
      </c>
      <c r="G305" t="str">
        <f>_xlfn.XLOOKUP(B305, Properties!A:A, Properties!B:B, FALSE)</f>
        <v>Nis</v>
      </c>
      <c r="H305" t="str">
        <f>_xlfn.XLOOKUP(C305, Agents!A:A, Agents!B:B, FALSE)</f>
        <v>Mina Lukic</v>
      </c>
      <c r="I305" t="str">
        <f t="shared" si="20"/>
        <v>2024-09</v>
      </c>
      <c r="J305" s="5" t="str">
        <f t="shared" si="21"/>
        <v>Standard</v>
      </c>
      <c r="K305" s="5" t="str">
        <f t="shared" si="22"/>
        <v>Low</v>
      </c>
      <c r="L305" s="5" t="str">
        <f t="shared" si="23"/>
        <v>No</v>
      </c>
      <c r="M305" s="5" t="str">
        <f t="shared" si="24"/>
        <v>Attention Needed</v>
      </c>
      <c r="N305" s="3">
        <f>_xlfn.XLOOKUP(B305, Properties!A:A, Properties!D:D, FALSE)</f>
        <v>43261</v>
      </c>
    </row>
    <row r="306" spans="1:14" x14ac:dyDescent="0.3">
      <c r="A306">
        <v>149</v>
      </c>
      <c r="B306">
        <v>151</v>
      </c>
      <c r="C306">
        <v>4</v>
      </c>
      <c r="D306" s="3">
        <v>134579</v>
      </c>
      <c r="E306" t="s">
        <v>259</v>
      </c>
      <c r="F306" s="1" t="s">
        <v>46</v>
      </c>
      <c r="G306" t="str">
        <f>_xlfn.XLOOKUP(B306, Properties!A:A, Properties!B:B, FALSE)</f>
        <v>Nis</v>
      </c>
      <c r="H306" t="str">
        <f>_xlfn.XLOOKUP(C306, Agents!A:A, Agents!B:B, FALSE)</f>
        <v>Marko Jovic</v>
      </c>
      <c r="I306" t="str">
        <f t="shared" si="20"/>
        <v>2025-03</v>
      </c>
      <c r="J306" s="5" t="str">
        <f t="shared" si="21"/>
        <v>Standard</v>
      </c>
      <c r="K306" s="5" t="str">
        <f t="shared" si="22"/>
        <v>Low</v>
      </c>
      <c r="L306" s="5" t="str">
        <f t="shared" si="23"/>
        <v>No</v>
      </c>
      <c r="M306" s="5" t="str">
        <f t="shared" si="24"/>
        <v>Ok</v>
      </c>
      <c r="N306" s="3">
        <f>_xlfn.XLOOKUP(B306, Properties!A:A, Properties!D:D, FALSE)</f>
        <v>43164</v>
      </c>
    </row>
    <row r="307" spans="1:14" x14ac:dyDescent="0.3">
      <c r="A307">
        <v>246</v>
      </c>
      <c r="B307">
        <v>244</v>
      </c>
      <c r="C307">
        <v>8</v>
      </c>
      <c r="D307" s="3">
        <v>134572</v>
      </c>
      <c r="E307" t="s">
        <v>257</v>
      </c>
      <c r="F307" s="1" t="s">
        <v>213</v>
      </c>
      <c r="G307" t="str">
        <f>_xlfn.XLOOKUP(B307, Properties!A:A, Properties!B:B, FALSE)</f>
        <v>Becej</v>
      </c>
      <c r="H307" t="str">
        <f>_xlfn.XLOOKUP(C307, Agents!A:A, Agents!B:B, FALSE)</f>
        <v>Mina Lukic</v>
      </c>
      <c r="I307" t="str">
        <f t="shared" si="20"/>
        <v>2025-01</v>
      </c>
      <c r="J307" s="5" t="str">
        <f t="shared" si="21"/>
        <v>Standard</v>
      </c>
      <c r="K307" s="5" t="str">
        <f t="shared" si="22"/>
        <v>Low</v>
      </c>
      <c r="L307" s="5" t="str">
        <f t="shared" si="23"/>
        <v>No</v>
      </c>
      <c r="M307" s="5" t="str">
        <f t="shared" si="24"/>
        <v>Attention Needed</v>
      </c>
      <c r="N307" s="3">
        <f>_xlfn.XLOOKUP(B307, Properties!A:A, Properties!D:D, FALSE)</f>
        <v>210193</v>
      </c>
    </row>
    <row r="308" spans="1:14" x14ac:dyDescent="0.3">
      <c r="A308">
        <v>389</v>
      </c>
      <c r="B308">
        <v>222</v>
      </c>
      <c r="C308">
        <v>7</v>
      </c>
      <c r="D308" s="3">
        <v>133454</v>
      </c>
      <c r="E308" t="s">
        <v>259</v>
      </c>
      <c r="F308" s="1" t="s">
        <v>295</v>
      </c>
      <c r="G308" t="str">
        <f>_xlfn.XLOOKUP(B308, Properties!A:A, Properties!B:B, FALSE)</f>
        <v>Novi Sad</v>
      </c>
      <c r="H308" t="str">
        <f>_xlfn.XLOOKUP(C308, Agents!A:A, Agents!B:B, FALSE)</f>
        <v>Ana Markovic</v>
      </c>
      <c r="I308" t="str">
        <f t="shared" si="20"/>
        <v>2024-08</v>
      </c>
      <c r="J308" s="5" t="str">
        <f t="shared" si="21"/>
        <v>Standard</v>
      </c>
      <c r="K308" s="5" t="str">
        <f t="shared" si="22"/>
        <v>Low</v>
      </c>
      <c r="L308" s="5" t="str">
        <f t="shared" si="23"/>
        <v>No</v>
      </c>
      <c r="M308" s="5" t="str">
        <f t="shared" si="24"/>
        <v>Ok</v>
      </c>
      <c r="N308" s="3">
        <f>_xlfn.XLOOKUP(B308, Properties!A:A, Properties!D:D, FALSE)</f>
        <v>89633</v>
      </c>
    </row>
    <row r="309" spans="1:14" x14ac:dyDescent="0.3">
      <c r="A309">
        <v>359</v>
      </c>
      <c r="B309">
        <v>254</v>
      </c>
      <c r="C309">
        <v>10</v>
      </c>
      <c r="D309" s="3">
        <v>132523</v>
      </c>
      <c r="E309" t="s">
        <v>257</v>
      </c>
      <c r="F309" s="1" t="s">
        <v>38</v>
      </c>
      <c r="G309" t="str">
        <f>_xlfn.XLOOKUP(B309, Properties!A:A, Properties!B:B, FALSE)</f>
        <v>Novi Sad</v>
      </c>
      <c r="H309" t="str">
        <f>_xlfn.XLOOKUP(C309, Agents!A:A, Agents!B:B, FALSE)</f>
        <v>Marko Jovic</v>
      </c>
      <c r="I309" t="str">
        <f t="shared" si="20"/>
        <v>2024-08</v>
      </c>
      <c r="J309" s="5" t="str">
        <f t="shared" si="21"/>
        <v>Standard</v>
      </c>
      <c r="K309" s="5" t="str">
        <f t="shared" si="22"/>
        <v>Low</v>
      </c>
      <c r="L309" s="5" t="str">
        <f t="shared" si="23"/>
        <v>No</v>
      </c>
      <c r="M309" s="5" t="str">
        <f t="shared" si="24"/>
        <v>Attention Needed</v>
      </c>
      <c r="N309" s="3">
        <f>_xlfn.XLOOKUP(B309, Properties!A:A, Properties!D:D, FALSE)</f>
        <v>230477</v>
      </c>
    </row>
    <row r="310" spans="1:14" x14ac:dyDescent="0.3">
      <c r="A310">
        <v>404</v>
      </c>
      <c r="B310">
        <v>5</v>
      </c>
      <c r="C310">
        <v>8</v>
      </c>
      <c r="D310" s="3">
        <v>132303</v>
      </c>
      <c r="E310" t="s">
        <v>259</v>
      </c>
      <c r="F310" s="1" t="s">
        <v>319</v>
      </c>
      <c r="G310" t="str">
        <f>_xlfn.XLOOKUP(B310, Properties!A:A, Properties!B:B, FALSE)</f>
        <v>Novi Sad</v>
      </c>
      <c r="H310" t="str">
        <f>_xlfn.XLOOKUP(C310, Agents!A:A, Agents!B:B, FALSE)</f>
        <v>Mina Lukic</v>
      </c>
      <c r="I310" t="str">
        <f t="shared" si="20"/>
        <v>2025-02</v>
      </c>
      <c r="J310" s="5" t="str">
        <f t="shared" si="21"/>
        <v>Standard</v>
      </c>
      <c r="K310" s="5" t="str">
        <f t="shared" si="22"/>
        <v>Low</v>
      </c>
      <c r="L310" s="5" t="str">
        <f t="shared" si="23"/>
        <v>No</v>
      </c>
      <c r="M310" s="5" t="str">
        <f t="shared" si="24"/>
        <v>Ok</v>
      </c>
      <c r="N310" s="3">
        <f>_xlfn.XLOOKUP(B310, Properties!A:A, Properties!D:D, FALSE)</f>
        <v>177127</v>
      </c>
    </row>
    <row r="311" spans="1:14" x14ac:dyDescent="0.3">
      <c r="A311">
        <v>211</v>
      </c>
      <c r="B311">
        <v>206</v>
      </c>
      <c r="C311">
        <v>1</v>
      </c>
      <c r="D311" s="3">
        <v>132055</v>
      </c>
      <c r="E311" t="s">
        <v>257</v>
      </c>
      <c r="F311" s="1" t="s">
        <v>345</v>
      </c>
      <c r="G311" t="str">
        <f>_xlfn.XLOOKUP(B311, Properties!A:A, Properties!B:B, FALSE)</f>
        <v>Subotica</v>
      </c>
      <c r="H311" t="str">
        <f>_xlfn.XLOOKUP(C311, Agents!A:A, Agents!B:B, FALSE)</f>
        <v>Ana Markovic</v>
      </c>
      <c r="I311" t="str">
        <f t="shared" si="20"/>
        <v>2024-07</v>
      </c>
      <c r="J311" s="5" t="str">
        <f t="shared" si="21"/>
        <v>Standard</v>
      </c>
      <c r="K311" s="5" t="str">
        <f t="shared" si="22"/>
        <v>Low</v>
      </c>
      <c r="L311" s="5" t="str">
        <f t="shared" si="23"/>
        <v>No</v>
      </c>
      <c r="M311" s="5" t="str">
        <f t="shared" si="24"/>
        <v>Attention Needed</v>
      </c>
      <c r="N311" s="3">
        <f>_xlfn.XLOOKUP(B311, Properties!A:A, Properties!D:D, FALSE)</f>
        <v>186278</v>
      </c>
    </row>
    <row r="312" spans="1:14" x14ac:dyDescent="0.3">
      <c r="A312">
        <v>256</v>
      </c>
      <c r="B312">
        <v>152</v>
      </c>
      <c r="C312">
        <v>10</v>
      </c>
      <c r="D312" s="3">
        <v>131272</v>
      </c>
      <c r="E312" t="s">
        <v>257</v>
      </c>
      <c r="F312" s="1" t="s">
        <v>263</v>
      </c>
      <c r="G312" t="str">
        <f>_xlfn.XLOOKUP(B312, Properties!A:A, Properties!B:B, FALSE)</f>
        <v>Novi Sad</v>
      </c>
      <c r="H312" t="str">
        <f>_xlfn.XLOOKUP(C312, Agents!A:A, Agents!B:B, FALSE)</f>
        <v>Marko Jovic</v>
      </c>
      <c r="I312" t="str">
        <f t="shared" si="20"/>
        <v>2024-03</v>
      </c>
      <c r="J312" s="5" t="str">
        <f t="shared" si="21"/>
        <v>Standard</v>
      </c>
      <c r="K312" s="5" t="str">
        <f t="shared" si="22"/>
        <v>Low</v>
      </c>
      <c r="L312" s="5" t="str">
        <f t="shared" si="23"/>
        <v>No</v>
      </c>
      <c r="M312" s="5" t="str">
        <f t="shared" si="24"/>
        <v>Attention Needed</v>
      </c>
      <c r="N312" s="3">
        <f>_xlfn.XLOOKUP(B312, Properties!A:A, Properties!D:D, FALSE)</f>
        <v>149658</v>
      </c>
    </row>
    <row r="313" spans="1:14" x14ac:dyDescent="0.3">
      <c r="A313">
        <v>233</v>
      </c>
      <c r="B313">
        <v>136</v>
      </c>
      <c r="C313">
        <v>10</v>
      </c>
      <c r="D313" s="3">
        <v>130801</v>
      </c>
      <c r="E313" t="s">
        <v>256</v>
      </c>
      <c r="F313" s="1" t="s">
        <v>354</v>
      </c>
      <c r="G313" t="str">
        <f>_xlfn.XLOOKUP(B313, Properties!A:A, Properties!B:B, FALSE)</f>
        <v>Becej</v>
      </c>
      <c r="H313" t="str">
        <f>_xlfn.XLOOKUP(C313, Agents!A:A, Agents!B:B, FALSE)</f>
        <v>Marko Jovic</v>
      </c>
      <c r="I313" t="str">
        <f t="shared" si="20"/>
        <v>2025-05</v>
      </c>
      <c r="J313" s="5" t="str">
        <f t="shared" si="21"/>
        <v>Standard</v>
      </c>
      <c r="K313" s="5" t="str">
        <f t="shared" si="22"/>
        <v>Low</v>
      </c>
      <c r="L313" s="5" t="str">
        <f t="shared" si="23"/>
        <v>No</v>
      </c>
      <c r="M313" s="5" t="str">
        <f t="shared" si="24"/>
        <v>Attention Needed</v>
      </c>
      <c r="N313" s="3">
        <f>_xlfn.XLOOKUP(B313, Properties!A:A, Properties!D:D, FALSE)</f>
        <v>191353</v>
      </c>
    </row>
    <row r="314" spans="1:14" x14ac:dyDescent="0.3">
      <c r="A314">
        <v>112</v>
      </c>
      <c r="B314">
        <v>110</v>
      </c>
      <c r="C314">
        <v>6</v>
      </c>
      <c r="D314" s="3">
        <v>130666</v>
      </c>
      <c r="E314" t="s">
        <v>256</v>
      </c>
      <c r="F314" s="1" t="s">
        <v>222</v>
      </c>
      <c r="G314" t="str">
        <f>_xlfn.XLOOKUP(B314, Properties!A:A, Properties!B:B, FALSE)</f>
        <v>Belgrade</v>
      </c>
      <c r="H314" t="str">
        <f>_xlfn.XLOOKUP(C314, Agents!A:A, Agents!B:B, FALSE)</f>
        <v>Marko Jovic</v>
      </c>
      <c r="I314" t="str">
        <f t="shared" si="20"/>
        <v>2024-04</v>
      </c>
      <c r="J314" s="5" t="str">
        <f t="shared" si="21"/>
        <v>Standard</v>
      </c>
      <c r="K314" s="5" t="str">
        <f t="shared" si="22"/>
        <v>Low</v>
      </c>
      <c r="L314" s="5" t="str">
        <f t="shared" si="23"/>
        <v>No</v>
      </c>
      <c r="M314" s="5" t="str">
        <f t="shared" si="24"/>
        <v>Attention Needed</v>
      </c>
      <c r="N314" s="3">
        <f>_xlfn.XLOOKUP(B314, Properties!A:A, Properties!D:D, FALSE)</f>
        <v>85070</v>
      </c>
    </row>
    <row r="315" spans="1:14" x14ac:dyDescent="0.3">
      <c r="A315">
        <v>388</v>
      </c>
      <c r="B315">
        <v>237</v>
      </c>
      <c r="C315">
        <v>4</v>
      </c>
      <c r="D315" s="3">
        <v>126705</v>
      </c>
      <c r="E315" t="s">
        <v>256</v>
      </c>
      <c r="F315" s="1" t="s">
        <v>392</v>
      </c>
      <c r="G315" t="str">
        <f>_xlfn.XLOOKUP(B315, Properties!A:A, Properties!B:B, FALSE)</f>
        <v>Nis</v>
      </c>
      <c r="H315" t="str">
        <f>_xlfn.XLOOKUP(C315, Agents!A:A, Agents!B:B, FALSE)</f>
        <v>Marko Jovic</v>
      </c>
      <c r="I315" t="str">
        <f t="shared" si="20"/>
        <v>2024-04</v>
      </c>
      <c r="J315" s="5" t="str">
        <f t="shared" si="21"/>
        <v>Standard</v>
      </c>
      <c r="K315" s="5" t="str">
        <f t="shared" si="22"/>
        <v>Low</v>
      </c>
      <c r="L315" s="5" t="str">
        <f t="shared" si="23"/>
        <v>No</v>
      </c>
      <c r="M315" s="5" t="str">
        <f t="shared" si="24"/>
        <v>Attention Needed</v>
      </c>
      <c r="N315" s="3">
        <f>_xlfn.XLOOKUP(B315, Properties!A:A, Properties!D:D, FALSE)</f>
        <v>189811</v>
      </c>
    </row>
    <row r="316" spans="1:14" x14ac:dyDescent="0.3">
      <c r="A316">
        <v>183</v>
      </c>
      <c r="B316">
        <v>265</v>
      </c>
      <c r="C316">
        <v>6</v>
      </c>
      <c r="D316" s="3">
        <v>125401</v>
      </c>
      <c r="E316" t="s">
        <v>259</v>
      </c>
      <c r="F316" s="1" t="s">
        <v>333</v>
      </c>
      <c r="G316" t="str">
        <f>_xlfn.XLOOKUP(B316, Properties!A:A, Properties!B:B, FALSE)</f>
        <v>Nis</v>
      </c>
      <c r="H316" t="str">
        <f>_xlfn.XLOOKUP(C316, Agents!A:A, Agents!B:B, FALSE)</f>
        <v>Marko Jovic</v>
      </c>
      <c r="I316" t="str">
        <f t="shared" si="20"/>
        <v>2025-01</v>
      </c>
      <c r="J316" s="5" t="str">
        <f t="shared" si="21"/>
        <v>Standard</v>
      </c>
      <c r="K316" s="5" t="str">
        <f t="shared" si="22"/>
        <v>Low</v>
      </c>
      <c r="L316" s="5" t="str">
        <f t="shared" si="23"/>
        <v>No</v>
      </c>
      <c r="M316" s="5" t="str">
        <f t="shared" si="24"/>
        <v>Ok</v>
      </c>
      <c r="N316" s="3">
        <f>_xlfn.XLOOKUP(B316, Properties!A:A, Properties!D:D, FALSE)</f>
        <v>138330</v>
      </c>
    </row>
    <row r="317" spans="1:14" x14ac:dyDescent="0.3">
      <c r="A317">
        <v>367</v>
      </c>
      <c r="B317">
        <v>289</v>
      </c>
      <c r="C317">
        <v>4</v>
      </c>
      <c r="D317" s="3">
        <v>124333</v>
      </c>
      <c r="E317" t="s">
        <v>257</v>
      </c>
      <c r="F317" s="1" t="s">
        <v>108</v>
      </c>
      <c r="G317" t="str">
        <f>_xlfn.XLOOKUP(B317, Properties!A:A, Properties!B:B, FALSE)</f>
        <v>Nis</v>
      </c>
      <c r="H317" t="str">
        <f>_xlfn.XLOOKUP(C317, Agents!A:A, Agents!B:B, FALSE)</f>
        <v>Marko Jovic</v>
      </c>
      <c r="I317" t="str">
        <f t="shared" si="20"/>
        <v>2024-12</v>
      </c>
      <c r="J317" s="5" t="str">
        <f t="shared" si="21"/>
        <v>Standard</v>
      </c>
      <c r="K317" s="5" t="str">
        <f t="shared" si="22"/>
        <v>Low</v>
      </c>
      <c r="L317" s="5" t="str">
        <f t="shared" si="23"/>
        <v>No</v>
      </c>
      <c r="M317" s="5" t="str">
        <f t="shared" si="24"/>
        <v>Attention Needed</v>
      </c>
      <c r="N317" s="3">
        <f>_xlfn.XLOOKUP(B317, Properties!A:A, Properties!D:D, FALSE)</f>
        <v>56309</v>
      </c>
    </row>
    <row r="318" spans="1:14" x14ac:dyDescent="0.3">
      <c r="A318">
        <v>294</v>
      </c>
      <c r="B318">
        <v>154</v>
      </c>
      <c r="C318">
        <v>5</v>
      </c>
      <c r="D318" s="3">
        <v>121820</v>
      </c>
      <c r="E318" t="s">
        <v>259</v>
      </c>
      <c r="F318" s="1" t="s">
        <v>237</v>
      </c>
      <c r="G318" t="str">
        <f>_xlfn.XLOOKUP(B318, Properties!A:A, Properties!B:B, FALSE)</f>
        <v>Becej</v>
      </c>
      <c r="H318" t="str">
        <f>_xlfn.XLOOKUP(C318, Agents!A:A, Agents!B:B, FALSE)</f>
        <v>Mina Lukic</v>
      </c>
      <c r="I318" t="str">
        <f t="shared" si="20"/>
        <v>2024-11</v>
      </c>
      <c r="J318" s="5" t="str">
        <f t="shared" si="21"/>
        <v>Standard</v>
      </c>
      <c r="K318" s="5" t="str">
        <f t="shared" si="22"/>
        <v>Low</v>
      </c>
      <c r="L318" s="5" t="str">
        <f t="shared" si="23"/>
        <v>No</v>
      </c>
      <c r="M318" s="5" t="str">
        <f t="shared" si="24"/>
        <v>Ok</v>
      </c>
      <c r="N318" s="3">
        <f>_xlfn.XLOOKUP(B318, Properties!A:A, Properties!D:D, FALSE)</f>
        <v>247728</v>
      </c>
    </row>
    <row r="319" spans="1:14" x14ac:dyDescent="0.3">
      <c r="A319">
        <v>386</v>
      </c>
      <c r="B319">
        <v>85</v>
      </c>
      <c r="C319">
        <v>4</v>
      </c>
      <c r="D319" s="3">
        <v>121463</v>
      </c>
      <c r="E319" t="s">
        <v>257</v>
      </c>
      <c r="F319" s="1" t="s">
        <v>221</v>
      </c>
      <c r="G319" t="str">
        <f>_xlfn.XLOOKUP(B319, Properties!A:A, Properties!B:B, FALSE)</f>
        <v>Nis</v>
      </c>
      <c r="H319" t="str">
        <f>_xlfn.XLOOKUP(C319, Agents!A:A, Agents!B:B, FALSE)</f>
        <v>Marko Jovic</v>
      </c>
      <c r="I319" t="str">
        <f t="shared" si="20"/>
        <v>2024-10</v>
      </c>
      <c r="J319" s="5" t="str">
        <f t="shared" si="21"/>
        <v>Standard</v>
      </c>
      <c r="K319" s="5" t="str">
        <f t="shared" si="22"/>
        <v>Low</v>
      </c>
      <c r="L319" s="5" t="str">
        <f t="shared" si="23"/>
        <v>No</v>
      </c>
      <c r="M319" s="5" t="str">
        <f t="shared" si="24"/>
        <v>Attention Needed</v>
      </c>
      <c r="N319" s="3">
        <f>_xlfn.XLOOKUP(B319, Properties!A:A, Properties!D:D, FALSE)</f>
        <v>181760</v>
      </c>
    </row>
    <row r="320" spans="1:14" x14ac:dyDescent="0.3">
      <c r="A320">
        <v>101</v>
      </c>
      <c r="B320">
        <v>176</v>
      </c>
      <c r="C320">
        <v>2</v>
      </c>
      <c r="D320" s="3">
        <v>120470</v>
      </c>
      <c r="E320" t="s">
        <v>257</v>
      </c>
      <c r="F320" s="1" t="s">
        <v>298</v>
      </c>
      <c r="G320" t="str">
        <f>_xlfn.XLOOKUP(B320, Properties!A:A, Properties!B:B, FALSE)</f>
        <v>Belgrade</v>
      </c>
      <c r="H320" t="str">
        <f>_xlfn.XLOOKUP(C320, Agents!A:A, Agents!B:B, FALSE)</f>
        <v>Jelena Petrovic</v>
      </c>
      <c r="I320" t="str">
        <f t="shared" si="20"/>
        <v>2024-01</v>
      </c>
      <c r="J320" s="5" t="str">
        <f t="shared" si="21"/>
        <v>Standard</v>
      </c>
      <c r="K320" s="5" t="str">
        <f t="shared" si="22"/>
        <v>Low</v>
      </c>
      <c r="L320" s="5" t="str">
        <f t="shared" si="23"/>
        <v>No</v>
      </c>
      <c r="M320" s="5" t="str">
        <f t="shared" si="24"/>
        <v>Attention Needed</v>
      </c>
      <c r="N320" s="3">
        <f>_xlfn.XLOOKUP(B320, Properties!A:A, Properties!D:D, FALSE)</f>
        <v>129379</v>
      </c>
    </row>
    <row r="321" spans="1:14" x14ac:dyDescent="0.3">
      <c r="A321">
        <v>354</v>
      </c>
      <c r="B321">
        <v>44</v>
      </c>
      <c r="C321">
        <v>9</v>
      </c>
      <c r="D321" s="3">
        <v>118910</v>
      </c>
      <c r="E321" t="s">
        <v>259</v>
      </c>
      <c r="F321" s="1" t="s">
        <v>393</v>
      </c>
      <c r="G321" t="str">
        <f>_xlfn.XLOOKUP(B321, Properties!A:A, Properties!B:B, FALSE)</f>
        <v>Becej</v>
      </c>
      <c r="H321" t="str">
        <f>_xlfn.XLOOKUP(C321, Agents!A:A, Agents!B:B, FALSE)</f>
        <v>Ivan Stankovic</v>
      </c>
      <c r="I321" t="str">
        <f t="shared" si="20"/>
        <v>2024-12</v>
      </c>
      <c r="J321" s="5" t="str">
        <f t="shared" si="21"/>
        <v>Standard</v>
      </c>
      <c r="K321" s="5" t="str">
        <f t="shared" si="22"/>
        <v>Low</v>
      </c>
      <c r="L321" s="5" t="str">
        <f t="shared" si="23"/>
        <v>No</v>
      </c>
      <c r="M321" s="5" t="str">
        <f t="shared" si="24"/>
        <v>Ok</v>
      </c>
      <c r="N321" s="3">
        <f>_xlfn.XLOOKUP(B321, Properties!A:A, Properties!D:D, FALSE)</f>
        <v>59325</v>
      </c>
    </row>
    <row r="322" spans="1:14" x14ac:dyDescent="0.3">
      <c r="A322">
        <v>189</v>
      </c>
      <c r="B322">
        <v>274</v>
      </c>
      <c r="C322">
        <v>2</v>
      </c>
      <c r="D322" s="3">
        <v>118413</v>
      </c>
      <c r="E322" t="s">
        <v>257</v>
      </c>
      <c r="F322" s="1" t="s">
        <v>158</v>
      </c>
      <c r="G322" t="str">
        <f>_xlfn.XLOOKUP(B322, Properties!A:A, Properties!B:B, FALSE)</f>
        <v>Novi Sad</v>
      </c>
      <c r="H322" t="str">
        <f>_xlfn.XLOOKUP(C322, Agents!A:A, Agents!B:B, FALSE)</f>
        <v>Jelena Petrovic</v>
      </c>
      <c r="I322" t="str">
        <f t="shared" ref="I322:I385" si="25">TEXT(F322, "YYYY-MM")</f>
        <v>2024-10</v>
      </c>
      <c r="J322" s="5" t="str">
        <f t="shared" ref="J322:J385" si="26">IF(D322&gt;200000, "Luxury", "Standard")</f>
        <v>Standard</v>
      </c>
      <c r="K322" s="5" t="str">
        <f t="shared" ref="K322:K385" si="27">IF(D322&gt;250000, "High", IF(D322&gt;150000, "Medium", "Low"))</f>
        <v>Low</v>
      </c>
      <c r="L322" s="5" t="str">
        <f t="shared" ref="L322:L385" si="28">IF(AND(E322="Sold", D322&gt;200000), "Yes", "No")</f>
        <v>No</v>
      </c>
      <c r="M322" s="5" t="str">
        <f t="shared" ref="M322:M385" si="29">IF(OR(E322="Pending", E322="Cancelled"), "Attention Needed", "Ok")</f>
        <v>Attention Needed</v>
      </c>
      <c r="N322" s="3">
        <f>_xlfn.XLOOKUP(B322, Properties!A:A, Properties!D:D, FALSE)</f>
        <v>217853</v>
      </c>
    </row>
    <row r="323" spans="1:14" x14ac:dyDescent="0.3">
      <c r="A323">
        <v>418</v>
      </c>
      <c r="B323">
        <v>144</v>
      </c>
      <c r="C323">
        <v>10</v>
      </c>
      <c r="D323" s="3">
        <v>118278</v>
      </c>
      <c r="E323" t="s">
        <v>257</v>
      </c>
      <c r="F323" s="1" t="s">
        <v>53</v>
      </c>
      <c r="G323" t="str">
        <f>_xlfn.XLOOKUP(B323, Properties!A:A, Properties!B:B, FALSE)</f>
        <v>Novi Sad</v>
      </c>
      <c r="H323" t="str">
        <f>_xlfn.XLOOKUP(C323, Agents!A:A, Agents!B:B, FALSE)</f>
        <v>Marko Jovic</v>
      </c>
      <c r="I323" t="str">
        <f t="shared" si="25"/>
        <v>2024-06</v>
      </c>
      <c r="J323" s="5" t="str">
        <f t="shared" si="26"/>
        <v>Standard</v>
      </c>
      <c r="K323" s="5" t="str">
        <f t="shared" si="27"/>
        <v>Low</v>
      </c>
      <c r="L323" s="5" t="str">
        <f t="shared" si="28"/>
        <v>No</v>
      </c>
      <c r="M323" s="5" t="str">
        <f t="shared" si="29"/>
        <v>Attention Needed</v>
      </c>
      <c r="N323" s="3">
        <f>_xlfn.XLOOKUP(B323, Properties!A:A, Properties!D:D, FALSE)</f>
        <v>36402</v>
      </c>
    </row>
    <row r="324" spans="1:14" x14ac:dyDescent="0.3">
      <c r="A324">
        <v>317</v>
      </c>
      <c r="B324">
        <v>251</v>
      </c>
      <c r="C324">
        <v>8</v>
      </c>
      <c r="D324" s="3">
        <v>118202</v>
      </c>
      <c r="E324" t="s">
        <v>256</v>
      </c>
      <c r="F324" s="1" t="s">
        <v>378</v>
      </c>
      <c r="G324" t="str">
        <f>_xlfn.XLOOKUP(B324, Properties!A:A, Properties!B:B, FALSE)</f>
        <v>Subotica</v>
      </c>
      <c r="H324" t="str">
        <f>_xlfn.XLOOKUP(C324, Agents!A:A, Agents!B:B, FALSE)</f>
        <v>Mina Lukic</v>
      </c>
      <c r="I324" t="str">
        <f t="shared" si="25"/>
        <v>2025-01</v>
      </c>
      <c r="J324" s="5" t="str">
        <f t="shared" si="26"/>
        <v>Standard</v>
      </c>
      <c r="K324" s="5" t="str">
        <f t="shared" si="27"/>
        <v>Low</v>
      </c>
      <c r="L324" s="5" t="str">
        <f t="shared" si="28"/>
        <v>No</v>
      </c>
      <c r="M324" s="5" t="str">
        <f t="shared" si="29"/>
        <v>Attention Needed</v>
      </c>
      <c r="N324" s="3">
        <f>_xlfn.XLOOKUP(B324, Properties!A:A, Properties!D:D, FALSE)</f>
        <v>144755</v>
      </c>
    </row>
    <row r="325" spans="1:14" x14ac:dyDescent="0.3">
      <c r="A325">
        <v>473</v>
      </c>
      <c r="B325">
        <v>185</v>
      </c>
      <c r="C325">
        <v>1</v>
      </c>
      <c r="D325" s="3">
        <v>117493</v>
      </c>
      <c r="E325" t="s">
        <v>256</v>
      </c>
      <c r="F325" s="1" t="s">
        <v>321</v>
      </c>
      <c r="G325" t="str">
        <f>_xlfn.XLOOKUP(B325, Properties!A:A, Properties!B:B, FALSE)</f>
        <v>Becej</v>
      </c>
      <c r="H325" t="str">
        <f>_xlfn.XLOOKUP(C325, Agents!A:A, Agents!B:B, FALSE)</f>
        <v>Ana Markovic</v>
      </c>
      <c r="I325" t="str">
        <f t="shared" si="25"/>
        <v>2024-07</v>
      </c>
      <c r="J325" s="5" t="str">
        <f t="shared" si="26"/>
        <v>Standard</v>
      </c>
      <c r="K325" s="5" t="str">
        <f t="shared" si="27"/>
        <v>Low</v>
      </c>
      <c r="L325" s="5" t="str">
        <f t="shared" si="28"/>
        <v>No</v>
      </c>
      <c r="M325" s="5" t="str">
        <f t="shared" si="29"/>
        <v>Attention Needed</v>
      </c>
      <c r="N325" s="3">
        <f>_xlfn.XLOOKUP(B325, Properties!A:A, Properties!D:D, FALSE)</f>
        <v>177841</v>
      </c>
    </row>
    <row r="326" spans="1:14" x14ac:dyDescent="0.3">
      <c r="A326">
        <v>401</v>
      </c>
      <c r="B326">
        <v>276</v>
      </c>
      <c r="C326">
        <v>3</v>
      </c>
      <c r="D326" s="3">
        <v>117485</v>
      </c>
      <c r="E326" t="s">
        <v>257</v>
      </c>
      <c r="F326" s="1" t="s">
        <v>102</v>
      </c>
      <c r="G326" t="str">
        <f>_xlfn.XLOOKUP(B326, Properties!A:A, Properties!B:B, FALSE)</f>
        <v>Becej</v>
      </c>
      <c r="H326" t="str">
        <f>_xlfn.XLOOKUP(C326, Agents!A:A, Agents!B:B, FALSE)</f>
        <v>Ivan Stankovic</v>
      </c>
      <c r="I326" t="str">
        <f t="shared" si="25"/>
        <v>2024-09</v>
      </c>
      <c r="J326" s="5" t="str">
        <f t="shared" si="26"/>
        <v>Standard</v>
      </c>
      <c r="K326" s="5" t="str">
        <f t="shared" si="27"/>
        <v>Low</v>
      </c>
      <c r="L326" s="5" t="str">
        <f t="shared" si="28"/>
        <v>No</v>
      </c>
      <c r="M326" s="5" t="str">
        <f t="shared" si="29"/>
        <v>Attention Needed</v>
      </c>
      <c r="N326" s="3">
        <f>_xlfn.XLOOKUP(B326, Properties!A:A, Properties!D:D, FALSE)</f>
        <v>93892</v>
      </c>
    </row>
    <row r="327" spans="1:14" x14ac:dyDescent="0.3">
      <c r="A327">
        <v>116</v>
      </c>
      <c r="B327">
        <v>84</v>
      </c>
      <c r="C327">
        <v>3</v>
      </c>
      <c r="D327" s="3">
        <v>116790</v>
      </c>
      <c r="E327" t="s">
        <v>257</v>
      </c>
      <c r="F327" s="1" t="s">
        <v>305</v>
      </c>
      <c r="G327" t="str">
        <f>_xlfn.XLOOKUP(B327, Properties!A:A, Properties!B:B, FALSE)</f>
        <v>Novi Sad</v>
      </c>
      <c r="H327" t="str">
        <f>_xlfn.XLOOKUP(C327, Agents!A:A, Agents!B:B, FALSE)</f>
        <v>Ivan Stankovic</v>
      </c>
      <c r="I327" t="str">
        <f t="shared" si="25"/>
        <v>2025-01</v>
      </c>
      <c r="J327" s="5" t="str">
        <f t="shared" si="26"/>
        <v>Standard</v>
      </c>
      <c r="K327" s="5" t="str">
        <f t="shared" si="27"/>
        <v>Low</v>
      </c>
      <c r="L327" s="5" t="str">
        <f t="shared" si="28"/>
        <v>No</v>
      </c>
      <c r="M327" s="5" t="str">
        <f t="shared" si="29"/>
        <v>Attention Needed</v>
      </c>
      <c r="N327" s="3">
        <f>_xlfn.XLOOKUP(B327, Properties!A:A, Properties!D:D, FALSE)</f>
        <v>61427</v>
      </c>
    </row>
    <row r="328" spans="1:14" x14ac:dyDescent="0.3">
      <c r="A328">
        <v>338</v>
      </c>
      <c r="B328">
        <v>204</v>
      </c>
      <c r="C328">
        <v>2</v>
      </c>
      <c r="D328" s="3">
        <v>115170</v>
      </c>
      <c r="E328" t="s">
        <v>256</v>
      </c>
      <c r="F328" s="1" t="s">
        <v>386</v>
      </c>
      <c r="G328" t="str">
        <f>_xlfn.XLOOKUP(B328, Properties!A:A, Properties!B:B, FALSE)</f>
        <v>Becej</v>
      </c>
      <c r="H328" t="str">
        <f>_xlfn.XLOOKUP(C328, Agents!A:A, Agents!B:B, FALSE)</f>
        <v>Jelena Petrovic</v>
      </c>
      <c r="I328" t="str">
        <f t="shared" si="25"/>
        <v>2024-10</v>
      </c>
      <c r="J328" s="5" t="str">
        <f t="shared" si="26"/>
        <v>Standard</v>
      </c>
      <c r="K328" s="5" t="str">
        <f t="shared" si="27"/>
        <v>Low</v>
      </c>
      <c r="L328" s="5" t="str">
        <f t="shared" si="28"/>
        <v>No</v>
      </c>
      <c r="M328" s="5" t="str">
        <f t="shared" si="29"/>
        <v>Attention Needed</v>
      </c>
      <c r="N328" s="3">
        <f>_xlfn.XLOOKUP(B328, Properties!A:A, Properties!D:D, FALSE)</f>
        <v>77668</v>
      </c>
    </row>
    <row r="329" spans="1:14" x14ac:dyDescent="0.3">
      <c r="A329">
        <v>102</v>
      </c>
      <c r="B329">
        <v>127</v>
      </c>
      <c r="C329">
        <v>8</v>
      </c>
      <c r="D329" s="3">
        <v>113228</v>
      </c>
      <c r="E329" t="s">
        <v>256</v>
      </c>
      <c r="F329" s="1" t="s">
        <v>299</v>
      </c>
      <c r="G329" t="str">
        <f>_xlfn.XLOOKUP(B329, Properties!A:A, Properties!B:B, FALSE)</f>
        <v>Becej</v>
      </c>
      <c r="H329" t="str">
        <f>_xlfn.XLOOKUP(C329, Agents!A:A, Agents!B:B, FALSE)</f>
        <v>Mina Lukic</v>
      </c>
      <c r="I329" t="str">
        <f t="shared" si="25"/>
        <v>2024-07</v>
      </c>
      <c r="J329" s="5" t="str">
        <f t="shared" si="26"/>
        <v>Standard</v>
      </c>
      <c r="K329" s="5" t="str">
        <f t="shared" si="27"/>
        <v>Low</v>
      </c>
      <c r="L329" s="5" t="str">
        <f t="shared" si="28"/>
        <v>No</v>
      </c>
      <c r="M329" s="5" t="str">
        <f t="shared" si="29"/>
        <v>Attention Needed</v>
      </c>
      <c r="N329" s="3">
        <f>_xlfn.XLOOKUP(B329, Properties!A:A, Properties!D:D, FALSE)</f>
        <v>220983</v>
      </c>
    </row>
    <row r="330" spans="1:14" x14ac:dyDescent="0.3">
      <c r="A330">
        <v>2</v>
      </c>
      <c r="B330">
        <v>239</v>
      </c>
      <c r="C330">
        <v>5</v>
      </c>
      <c r="D330" s="3">
        <v>112824</v>
      </c>
      <c r="E330" t="s">
        <v>257</v>
      </c>
      <c r="F330" s="1" t="s">
        <v>202</v>
      </c>
      <c r="G330" t="str">
        <f>_xlfn.XLOOKUP(B330, Properties!A:A, Properties!B:B, FALSE)</f>
        <v>Subotica</v>
      </c>
      <c r="H330" t="str">
        <f>_xlfn.XLOOKUP(C330, Agents!A:A, Agents!B:B, FALSE)</f>
        <v>Mina Lukic</v>
      </c>
      <c r="I330" t="str">
        <f t="shared" si="25"/>
        <v>2024-02</v>
      </c>
      <c r="J330" s="5" t="str">
        <f t="shared" si="26"/>
        <v>Standard</v>
      </c>
      <c r="K330" s="5" t="str">
        <f t="shared" si="27"/>
        <v>Low</v>
      </c>
      <c r="L330" s="5" t="str">
        <f t="shared" si="28"/>
        <v>No</v>
      </c>
      <c r="M330" s="5" t="str">
        <f t="shared" si="29"/>
        <v>Attention Needed</v>
      </c>
      <c r="N330" s="3">
        <f>_xlfn.XLOOKUP(B330, Properties!A:A, Properties!D:D, FALSE)</f>
        <v>71171</v>
      </c>
    </row>
    <row r="331" spans="1:14" x14ac:dyDescent="0.3">
      <c r="A331">
        <v>245</v>
      </c>
      <c r="B331">
        <v>71</v>
      </c>
      <c r="C331">
        <v>1</v>
      </c>
      <c r="D331" s="3">
        <v>112806</v>
      </c>
      <c r="E331" t="s">
        <v>257</v>
      </c>
      <c r="F331" s="1" t="s">
        <v>151</v>
      </c>
      <c r="G331" t="str">
        <f>_xlfn.XLOOKUP(B331, Properties!A:A, Properties!B:B, FALSE)</f>
        <v>Nis</v>
      </c>
      <c r="H331" t="str">
        <f>_xlfn.XLOOKUP(C331, Agents!A:A, Agents!B:B, FALSE)</f>
        <v>Ana Markovic</v>
      </c>
      <c r="I331" t="str">
        <f t="shared" si="25"/>
        <v>2024-07</v>
      </c>
      <c r="J331" s="5" t="str">
        <f t="shared" si="26"/>
        <v>Standard</v>
      </c>
      <c r="K331" s="5" t="str">
        <f t="shared" si="27"/>
        <v>Low</v>
      </c>
      <c r="L331" s="5" t="str">
        <f t="shared" si="28"/>
        <v>No</v>
      </c>
      <c r="M331" s="5" t="str">
        <f t="shared" si="29"/>
        <v>Attention Needed</v>
      </c>
      <c r="N331" s="3">
        <f>_xlfn.XLOOKUP(B331, Properties!A:A, Properties!D:D, FALSE)</f>
        <v>54448</v>
      </c>
    </row>
    <row r="332" spans="1:14" x14ac:dyDescent="0.3">
      <c r="A332">
        <v>175</v>
      </c>
      <c r="B332">
        <v>278</v>
      </c>
      <c r="C332">
        <v>5</v>
      </c>
      <c r="D332" s="3">
        <v>112578</v>
      </c>
      <c r="E332" t="s">
        <v>256</v>
      </c>
      <c r="F332" s="1" t="s">
        <v>186</v>
      </c>
      <c r="G332" t="str">
        <f>_xlfn.XLOOKUP(B332, Properties!A:A, Properties!B:B, FALSE)</f>
        <v>Nis</v>
      </c>
      <c r="H332" t="str">
        <f>_xlfn.XLOOKUP(C332, Agents!A:A, Agents!B:B, FALSE)</f>
        <v>Mina Lukic</v>
      </c>
      <c r="I332" t="str">
        <f t="shared" si="25"/>
        <v>2024-12</v>
      </c>
      <c r="J332" s="5" t="str">
        <f t="shared" si="26"/>
        <v>Standard</v>
      </c>
      <c r="K332" s="5" t="str">
        <f t="shared" si="27"/>
        <v>Low</v>
      </c>
      <c r="L332" s="5" t="str">
        <f t="shared" si="28"/>
        <v>No</v>
      </c>
      <c r="M332" s="5" t="str">
        <f t="shared" si="29"/>
        <v>Attention Needed</v>
      </c>
      <c r="N332" s="3">
        <f>_xlfn.XLOOKUP(B332, Properties!A:A, Properties!D:D, FALSE)</f>
        <v>48300</v>
      </c>
    </row>
    <row r="333" spans="1:14" x14ac:dyDescent="0.3">
      <c r="A333">
        <v>68</v>
      </c>
      <c r="B333">
        <v>215</v>
      </c>
      <c r="C333">
        <v>8</v>
      </c>
      <c r="D333" s="3">
        <v>112527</v>
      </c>
      <c r="E333" t="s">
        <v>256</v>
      </c>
      <c r="F333" s="1" t="s">
        <v>94</v>
      </c>
      <c r="G333" t="str">
        <f>_xlfn.XLOOKUP(B333, Properties!A:A, Properties!B:B, FALSE)</f>
        <v>Subotica</v>
      </c>
      <c r="H333" t="str">
        <f>_xlfn.XLOOKUP(C333, Agents!A:A, Agents!B:B, FALSE)</f>
        <v>Mina Lukic</v>
      </c>
      <c r="I333" t="str">
        <f t="shared" si="25"/>
        <v>2024-07</v>
      </c>
      <c r="J333" s="5" t="str">
        <f t="shared" si="26"/>
        <v>Standard</v>
      </c>
      <c r="K333" s="5" t="str">
        <f t="shared" si="27"/>
        <v>Low</v>
      </c>
      <c r="L333" s="5" t="str">
        <f t="shared" si="28"/>
        <v>No</v>
      </c>
      <c r="M333" s="5" t="str">
        <f t="shared" si="29"/>
        <v>Attention Needed</v>
      </c>
      <c r="N333" s="3">
        <f>_xlfn.XLOOKUP(B333, Properties!A:A, Properties!D:D, FALSE)</f>
        <v>225542</v>
      </c>
    </row>
    <row r="334" spans="1:14" x14ac:dyDescent="0.3">
      <c r="A334">
        <v>60</v>
      </c>
      <c r="B334">
        <v>296</v>
      </c>
      <c r="C334">
        <v>9</v>
      </c>
      <c r="D334" s="3">
        <v>111123</v>
      </c>
      <c r="E334" t="s">
        <v>259</v>
      </c>
      <c r="F334" s="1" t="s">
        <v>87</v>
      </c>
      <c r="G334" t="str">
        <f>_xlfn.XLOOKUP(B334, Properties!A:A, Properties!B:B, FALSE)</f>
        <v>Becej</v>
      </c>
      <c r="H334" t="str">
        <f>_xlfn.XLOOKUP(C334, Agents!A:A, Agents!B:B, FALSE)</f>
        <v>Ivan Stankovic</v>
      </c>
      <c r="I334" t="str">
        <f t="shared" si="25"/>
        <v>2024-12</v>
      </c>
      <c r="J334" s="5" t="str">
        <f t="shared" si="26"/>
        <v>Standard</v>
      </c>
      <c r="K334" s="5" t="str">
        <f t="shared" si="27"/>
        <v>Low</v>
      </c>
      <c r="L334" s="5" t="str">
        <f t="shared" si="28"/>
        <v>No</v>
      </c>
      <c r="M334" s="5" t="str">
        <f t="shared" si="29"/>
        <v>Ok</v>
      </c>
      <c r="N334" s="3">
        <f>_xlfn.XLOOKUP(B334, Properties!A:A, Properties!D:D, FALSE)</f>
        <v>191863</v>
      </c>
    </row>
    <row r="335" spans="1:14" x14ac:dyDescent="0.3">
      <c r="A335">
        <v>27</v>
      </c>
      <c r="B335">
        <v>190</v>
      </c>
      <c r="C335">
        <v>9</v>
      </c>
      <c r="D335" s="3">
        <v>111014</v>
      </c>
      <c r="E335" t="s">
        <v>256</v>
      </c>
      <c r="F335" s="1" t="s">
        <v>46</v>
      </c>
      <c r="G335" t="str">
        <f>_xlfn.XLOOKUP(B335, Properties!A:A, Properties!B:B, FALSE)</f>
        <v>Becej</v>
      </c>
      <c r="H335" t="str">
        <f>_xlfn.XLOOKUP(C335, Agents!A:A, Agents!B:B, FALSE)</f>
        <v>Ivan Stankovic</v>
      </c>
      <c r="I335" t="str">
        <f t="shared" si="25"/>
        <v>2025-03</v>
      </c>
      <c r="J335" s="5" t="str">
        <f t="shared" si="26"/>
        <v>Standard</v>
      </c>
      <c r="K335" s="5" t="str">
        <f t="shared" si="27"/>
        <v>Low</v>
      </c>
      <c r="L335" s="5" t="str">
        <f t="shared" si="28"/>
        <v>No</v>
      </c>
      <c r="M335" s="5" t="str">
        <f t="shared" si="29"/>
        <v>Attention Needed</v>
      </c>
      <c r="N335" s="3">
        <f>_xlfn.XLOOKUP(B335, Properties!A:A, Properties!D:D, FALSE)</f>
        <v>217436</v>
      </c>
    </row>
    <row r="336" spans="1:14" x14ac:dyDescent="0.3">
      <c r="A336">
        <v>346</v>
      </c>
      <c r="B336">
        <v>138</v>
      </c>
      <c r="C336">
        <v>3</v>
      </c>
      <c r="D336" s="3">
        <v>110885</v>
      </c>
      <c r="E336" t="s">
        <v>256</v>
      </c>
      <c r="F336" s="1" t="s">
        <v>391</v>
      </c>
      <c r="G336" t="str">
        <f>_xlfn.XLOOKUP(B336, Properties!A:A, Properties!B:B, FALSE)</f>
        <v>Belgrade</v>
      </c>
      <c r="H336" t="str">
        <f>_xlfn.XLOOKUP(C336, Agents!A:A, Agents!B:B, FALSE)</f>
        <v>Ivan Stankovic</v>
      </c>
      <c r="I336" t="str">
        <f t="shared" si="25"/>
        <v>2025-01</v>
      </c>
      <c r="J336" s="5" t="str">
        <f t="shared" si="26"/>
        <v>Standard</v>
      </c>
      <c r="K336" s="5" t="str">
        <f t="shared" si="27"/>
        <v>Low</v>
      </c>
      <c r="L336" s="5" t="str">
        <f t="shared" si="28"/>
        <v>No</v>
      </c>
      <c r="M336" s="5" t="str">
        <f t="shared" si="29"/>
        <v>Attention Needed</v>
      </c>
      <c r="N336" s="3">
        <f>_xlfn.XLOOKUP(B336, Properties!A:A, Properties!D:D, FALSE)</f>
        <v>105212</v>
      </c>
    </row>
    <row r="337" spans="1:14" x14ac:dyDescent="0.3">
      <c r="A337">
        <v>90</v>
      </c>
      <c r="B337">
        <v>102</v>
      </c>
      <c r="C337">
        <v>3</v>
      </c>
      <c r="D337" s="3">
        <v>110147</v>
      </c>
      <c r="E337" t="s">
        <v>257</v>
      </c>
      <c r="F337" s="1" t="s">
        <v>239</v>
      </c>
      <c r="G337" t="str">
        <f>_xlfn.XLOOKUP(B337, Properties!A:A, Properties!B:B, FALSE)</f>
        <v>Subotica</v>
      </c>
      <c r="H337" t="str">
        <f>_xlfn.XLOOKUP(C337, Agents!A:A, Agents!B:B, FALSE)</f>
        <v>Ivan Stankovic</v>
      </c>
      <c r="I337" t="str">
        <f t="shared" si="25"/>
        <v>2025-01</v>
      </c>
      <c r="J337" s="5" t="str">
        <f t="shared" si="26"/>
        <v>Standard</v>
      </c>
      <c r="K337" s="5" t="str">
        <f t="shared" si="27"/>
        <v>Low</v>
      </c>
      <c r="L337" s="5" t="str">
        <f t="shared" si="28"/>
        <v>No</v>
      </c>
      <c r="M337" s="5" t="str">
        <f t="shared" si="29"/>
        <v>Attention Needed</v>
      </c>
      <c r="N337" s="3">
        <f>_xlfn.XLOOKUP(B337, Properties!A:A, Properties!D:D, FALSE)</f>
        <v>54195</v>
      </c>
    </row>
    <row r="338" spans="1:14" x14ac:dyDescent="0.3">
      <c r="A338">
        <v>461</v>
      </c>
      <c r="B338">
        <v>275</v>
      </c>
      <c r="C338">
        <v>9</v>
      </c>
      <c r="D338" s="3">
        <v>110048</v>
      </c>
      <c r="E338" t="s">
        <v>257</v>
      </c>
      <c r="F338" s="1" t="s">
        <v>118</v>
      </c>
      <c r="G338" t="str">
        <f>_xlfn.XLOOKUP(B338, Properties!A:A, Properties!B:B, FALSE)</f>
        <v>Nis</v>
      </c>
      <c r="H338" t="str">
        <f>_xlfn.XLOOKUP(C338, Agents!A:A, Agents!B:B, FALSE)</f>
        <v>Ivan Stankovic</v>
      </c>
      <c r="I338" t="str">
        <f t="shared" si="25"/>
        <v>2024-05</v>
      </c>
      <c r="J338" s="5" t="str">
        <f t="shared" si="26"/>
        <v>Standard</v>
      </c>
      <c r="K338" s="5" t="str">
        <f t="shared" si="27"/>
        <v>Low</v>
      </c>
      <c r="L338" s="5" t="str">
        <f t="shared" si="28"/>
        <v>No</v>
      </c>
      <c r="M338" s="5" t="str">
        <f t="shared" si="29"/>
        <v>Attention Needed</v>
      </c>
      <c r="N338" s="3">
        <f>_xlfn.XLOOKUP(B338, Properties!A:A, Properties!D:D, FALSE)</f>
        <v>138918</v>
      </c>
    </row>
    <row r="339" spans="1:14" x14ac:dyDescent="0.3">
      <c r="A339">
        <v>321</v>
      </c>
      <c r="B339">
        <v>119</v>
      </c>
      <c r="C339">
        <v>2</v>
      </c>
      <c r="D339" s="3">
        <v>109183</v>
      </c>
      <c r="E339" t="s">
        <v>257</v>
      </c>
      <c r="F339" s="1" t="s">
        <v>381</v>
      </c>
      <c r="G339" t="str">
        <f>_xlfn.XLOOKUP(B339, Properties!A:A, Properties!B:B, FALSE)</f>
        <v>Becej</v>
      </c>
      <c r="H339" t="str">
        <f>_xlfn.XLOOKUP(C339, Agents!A:A, Agents!B:B, FALSE)</f>
        <v>Jelena Petrovic</v>
      </c>
      <c r="I339" t="str">
        <f t="shared" si="25"/>
        <v>2024-01</v>
      </c>
      <c r="J339" s="5" t="str">
        <f t="shared" si="26"/>
        <v>Standard</v>
      </c>
      <c r="K339" s="5" t="str">
        <f t="shared" si="27"/>
        <v>Low</v>
      </c>
      <c r="L339" s="5" t="str">
        <f t="shared" si="28"/>
        <v>No</v>
      </c>
      <c r="M339" s="5" t="str">
        <f t="shared" si="29"/>
        <v>Attention Needed</v>
      </c>
      <c r="N339" s="3">
        <f>_xlfn.XLOOKUP(B339, Properties!A:A, Properties!D:D, FALSE)</f>
        <v>110003</v>
      </c>
    </row>
    <row r="340" spans="1:14" x14ac:dyDescent="0.3">
      <c r="A340">
        <v>485</v>
      </c>
      <c r="B340">
        <v>101</v>
      </c>
      <c r="C340">
        <v>9</v>
      </c>
      <c r="D340" s="3">
        <v>108940</v>
      </c>
      <c r="E340" t="s">
        <v>259</v>
      </c>
      <c r="F340" s="1" t="s">
        <v>287</v>
      </c>
      <c r="G340" t="str">
        <f>_xlfn.XLOOKUP(B340, Properties!A:A, Properties!B:B, FALSE)</f>
        <v>Novi Sad</v>
      </c>
      <c r="H340" t="str">
        <f>_xlfn.XLOOKUP(C340, Agents!A:A, Agents!B:B, FALSE)</f>
        <v>Ivan Stankovic</v>
      </c>
      <c r="I340" t="str">
        <f t="shared" si="25"/>
        <v>2024-01</v>
      </c>
      <c r="J340" s="5" t="str">
        <f t="shared" si="26"/>
        <v>Standard</v>
      </c>
      <c r="K340" s="5" t="str">
        <f t="shared" si="27"/>
        <v>Low</v>
      </c>
      <c r="L340" s="5" t="str">
        <f t="shared" si="28"/>
        <v>No</v>
      </c>
      <c r="M340" s="5" t="str">
        <f t="shared" si="29"/>
        <v>Ok</v>
      </c>
      <c r="N340" s="3">
        <f>_xlfn.XLOOKUP(B340, Properties!A:A, Properties!D:D, FALSE)</f>
        <v>162489</v>
      </c>
    </row>
    <row r="341" spans="1:14" x14ac:dyDescent="0.3">
      <c r="A341">
        <v>270</v>
      </c>
      <c r="B341">
        <v>281</v>
      </c>
      <c r="C341">
        <v>9</v>
      </c>
      <c r="D341" s="3">
        <v>108565</v>
      </c>
      <c r="E341" t="s">
        <v>259</v>
      </c>
      <c r="F341" s="1" t="s">
        <v>334</v>
      </c>
      <c r="G341" t="str">
        <f>_xlfn.XLOOKUP(B341, Properties!A:A, Properties!B:B, FALSE)</f>
        <v>Subotica</v>
      </c>
      <c r="H341" t="str">
        <f>_xlfn.XLOOKUP(C341, Agents!A:A, Agents!B:B, FALSE)</f>
        <v>Ivan Stankovic</v>
      </c>
      <c r="I341" t="str">
        <f t="shared" si="25"/>
        <v>2024-03</v>
      </c>
      <c r="J341" s="5" t="str">
        <f t="shared" si="26"/>
        <v>Standard</v>
      </c>
      <c r="K341" s="5" t="str">
        <f t="shared" si="27"/>
        <v>Low</v>
      </c>
      <c r="L341" s="5" t="str">
        <f t="shared" si="28"/>
        <v>No</v>
      </c>
      <c r="M341" s="5" t="str">
        <f t="shared" si="29"/>
        <v>Ok</v>
      </c>
      <c r="N341" s="3">
        <f>_xlfn.XLOOKUP(B341, Properties!A:A, Properties!D:D, FALSE)</f>
        <v>68953</v>
      </c>
    </row>
    <row r="342" spans="1:14" x14ac:dyDescent="0.3">
      <c r="A342">
        <v>36</v>
      </c>
      <c r="B342">
        <v>111</v>
      </c>
      <c r="C342">
        <v>4</v>
      </c>
      <c r="D342" s="3">
        <v>107360</v>
      </c>
      <c r="E342" t="s">
        <v>256</v>
      </c>
      <c r="F342" s="1" t="s">
        <v>114</v>
      </c>
      <c r="G342" t="str">
        <f>_xlfn.XLOOKUP(B342, Properties!A:A, Properties!B:B, FALSE)</f>
        <v>Novi Sad</v>
      </c>
      <c r="H342" t="str">
        <f>_xlfn.XLOOKUP(C342, Agents!A:A, Agents!B:B, FALSE)</f>
        <v>Marko Jovic</v>
      </c>
      <c r="I342" t="str">
        <f t="shared" si="25"/>
        <v>2025-02</v>
      </c>
      <c r="J342" s="5" t="str">
        <f t="shared" si="26"/>
        <v>Standard</v>
      </c>
      <c r="K342" s="5" t="str">
        <f t="shared" si="27"/>
        <v>Low</v>
      </c>
      <c r="L342" s="5" t="str">
        <f t="shared" si="28"/>
        <v>No</v>
      </c>
      <c r="M342" s="5" t="str">
        <f t="shared" si="29"/>
        <v>Attention Needed</v>
      </c>
      <c r="N342" s="3">
        <f>_xlfn.XLOOKUP(B342, Properties!A:A, Properties!D:D, FALSE)</f>
        <v>122714</v>
      </c>
    </row>
    <row r="343" spans="1:14" x14ac:dyDescent="0.3">
      <c r="A343">
        <v>89</v>
      </c>
      <c r="B343">
        <v>76</v>
      </c>
      <c r="C343">
        <v>4</v>
      </c>
      <c r="D343" s="3">
        <v>106778</v>
      </c>
      <c r="E343" t="s">
        <v>259</v>
      </c>
      <c r="F343" s="1" t="s">
        <v>170</v>
      </c>
      <c r="G343" t="str">
        <f>_xlfn.XLOOKUP(B343, Properties!A:A, Properties!B:B, FALSE)</f>
        <v>Becej</v>
      </c>
      <c r="H343" t="str">
        <f>_xlfn.XLOOKUP(C343, Agents!A:A, Agents!B:B, FALSE)</f>
        <v>Marko Jovic</v>
      </c>
      <c r="I343" t="str">
        <f t="shared" si="25"/>
        <v>2024-05</v>
      </c>
      <c r="J343" s="5" t="str">
        <f t="shared" si="26"/>
        <v>Standard</v>
      </c>
      <c r="K343" s="5" t="str">
        <f t="shared" si="27"/>
        <v>Low</v>
      </c>
      <c r="L343" s="5" t="str">
        <f t="shared" si="28"/>
        <v>No</v>
      </c>
      <c r="M343" s="5" t="str">
        <f t="shared" si="29"/>
        <v>Ok</v>
      </c>
      <c r="N343" s="3">
        <f>_xlfn.XLOOKUP(B343, Properties!A:A, Properties!D:D, FALSE)</f>
        <v>140888</v>
      </c>
    </row>
    <row r="344" spans="1:14" x14ac:dyDescent="0.3">
      <c r="A344">
        <v>299</v>
      </c>
      <c r="B344">
        <v>116</v>
      </c>
      <c r="C344">
        <v>5</v>
      </c>
      <c r="D344" s="3">
        <v>105681</v>
      </c>
      <c r="E344" t="s">
        <v>257</v>
      </c>
      <c r="F344" s="1" t="s">
        <v>134</v>
      </c>
      <c r="G344" t="str">
        <f>_xlfn.XLOOKUP(B344, Properties!A:A, Properties!B:B, FALSE)</f>
        <v>Novi Sad</v>
      </c>
      <c r="H344" t="str">
        <f>_xlfn.XLOOKUP(C344, Agents!A:A, Agents!B:B, FALSE)</f>
        <v>Mina Lukic</v>
      </c>
      <c r="I344" t="str">
        <f t="shared" si="25"/>
        <v>2025-02</v>
      </c>
      <c r="J344" s="5" t="str">
        <f t="shared" si="26"/>
        <v>Standard</v>
      </c>
      <c r="K344" s="5" t="str">
        <f t="shared" si="27"/>
        <v>Low</v>
      </c>
      <c r="L344" s="5" t="str">
        <f t="shared" si="28"/>
        <v>No</v>
      </c>
      <c r="M344" s="5" t="str">
        <f t="shared" si="29"/>
        <v>Attention Needed</v>
      </c>
      <c r="N344" s="3">
        <f>_xlfn.XLOOKUP(B344, Properties!A:A, Properties!D:D, FALSE)</f>
        <v>71732</v>
      </c>
    </row>
    <row r="345" spans="1:14" x14ac:dyDescent="0.3">
      <c r="A345">
        <v>337</v>
      </c>
      <c r="B345">
        <v>162</v>
      </c>
      <c r="C345">
        <v>1</v>
      </c>
      <c r="D345" s="3">
        <v>105597</v>
      </c>
      <c r="E345" t="s">
        <v>259</v>
      </c>
      <c r="F345" s="1" t="s">
        <v>307</v>
      </c>
      <c r="G345" t="str">
        <f>_xlfn.XLOOKUP(B345, Properties!A:A, Properties!B:B, FALSE)</f>
        <v>Novi Sad</v>
      </c>
      <c r="H345" t="str">
        <f>_xlfn.XLOOKUP(C345, Agents!A:A, Agents!B:B, FALSE)</f>
        <v>Ana Markovic</v>
      </c>
      <c r="I345" t="str">
        <f t="shared" si="25"/>
        <v>2025-01</v>
      </c>
      <c r="J345" s="5" t="str">
        <f t="shared" si="26"/>
        <v>Standard</v>
      </c>
      <c r="K345" s="5" t="str">
        <f t="shared" si="27"/>
        <v>Low</v>
      </c>
      <c r="L345" s="5" t="str">
        <f t="shared" si="28"/>
        <v>No</v>
      </c>
      <c r="M345" s="5" t="str">
        <f t="shared" si="29"/>
        <v>Ok</v>
      </c>
      <c r="N345" s="3">
        <f>_xlfn.XLOOKUP(B345, Properties!A:A, Properties!D:D, FALSE)</f>
        <v>211914</v>
      </c>
    </row>
    <row r="346" spans="1:14" x14ac:dyDescent="0.3">
      <c r="A346">
        <v>197</v>
      </c>
      <c r="B346">
        <v>238</v>
      </c>
      <c r="C346">
        <v>4</v>
      </c>
      <c r="D346" s="3">
        <v>105323</v>
      </c>
      <c r="E346" t="s">
        <v>256</v>
      </c>
      <c r="F346" s="1" t="s">
        <v>81</v>
      </c>
      <c r="G346" t="str">
        <f>_xlfn.XLOOKUP(B346, Properties!A:A, Properties!B:B, FALSE)</f>
        <v>Belgrade</v>
      </c>
      <c r="H346" t="str">
        <f>_xlfn.XLOOKUP(C346, Agents!A:A, Agents!B:B, FALSE)</f>
        <v>Marko Jovic</v>
      </c>
      <c r="I346" t="str">
        <f t="shared" si="25"/>
        <v>2024-06</v>
      </c>
      <c r="J346" s="5" t="str">
        <f t="shared" si="26"/>
        <v>Standard</v>
      </c>
      <c r="K346" s="5" t="str">
        <f t="shared" si="27"/>
        <v>Low</v>
      </c>
      <c r="L346" s="5" t="str">
        <f t="shared" si="28"/>
        <v>No</v>
      </c>
      <c r="M346" s="5" t="str">
        <f t="shared" si="29"/>
        <v>Attention Needed</v>
      </c>
      <c r="N346" s="3">
        <f>_xlfn.XLOOKUP(B346, Properties!A:A, Properties!D:D, FALSE)</f>
        <v>193975</v>
      </c>
    </row>
    <row r="347" spans="1:14" x14ac:dyDescent="0.3">
      <c r="A347">
        <v>138</v>
      </c>
      <c r="B347">
        <v>264</v>
      </c>
      <c r="C347">
        <v>10</v>
      </c>
      <c r="D347" s="3">
        <v>105275</v>
      </c>
      <c r="E347" t="s">
        <v>259</v>
      </c>
      <c r="F347" s="1" t="s">
        <v>223</v>
      </c>
      <c r="G347" t="str">
        <f>_xlfn.XLOOKUP(B347, Properties!A:A, Properties!B:B, FALSE)</f>
        <v>Becej</v>
      </c>
      <c r="H347" t="str">
        <f>_xlfn.XLOOKUP(C347, Agents!A:A, Agents!B:B, FALSE)</f>
        <v>Marko Jovic</v>
      </c>
      <c r="I347" t="str">
        <f t="shared" si="25"/>
        <v>2024-05</v>
      </c>
      <c r="J347" s="5" t="str">
        <f t="shared" si="26"/>
        <v>Standard</v>
      </c>
      <c r="K347" s="5" t="str">
        <f t="shared" si="27"/>
        <v>Low</v>
      </c>
      <c r="L347" s="5" t="str">
        <f t="shared" si="28"/>
        <v>No</v>
      </c>
      <c r="M347" s="5" t="str">
        <f t="shared" si="29"/>
        <v>Ok</v>
      </c>
      <c r="N347" s="3">
        <f>_xlfn.XLOOKUP(B347, Properties!A:A, Properties!D:D, FALSE)</f>
        <v>202401</v>
      </c>
    </row>
    <row r="348" spans="1:14" x14ac:dyDescent="0.3">
      <c r="A348">
        <v>163</v>
      </c>
      <c r="B348">
        <v>263</v>
      </c>
      <c r="C348">
        <v>3</v>
      </c>
      <c r="D348" s="3">
        <v>104857</v>
      </c>
      <c r="E348" t="s">
        <v>259</v>
      </c>
      <c r="F348" s="1" t="s">
        <v>324</v>
      </c>
      <c r="G348" t="str">
        <f>_xlfn.XLOOKUP(B348, Properties!A:A, Properties!B:B, FALSE)</f>
        <v>Subotica</v>
      </c>
      <c r="H348" t="str">
        <f>_xlfn.XLOOKUP(C348, Agents!A:A, Agents!B:B, FALSE)</f>
        <v>Ivan Stankovic</v>
      </c>
      <c r="I348" t="str">
        <f t="shared" si="25"/>
        <v>2025-03</v>
      </c>
      <c r="J348" s="5" t="str">
        <f t="shared" si="26"/>
        <v>Standard</v>
      </c>
      <c r="K348" s="5" t="str">
        <f t="shared" si="27"/>
        <v>Low</v>
      </c>
      <c r="L348" s="5" t="str">
        <f t="shared" si="28"/>
        <v>No</v>
      </c>
      <c r="M348" s="5" t="str">
        <f t="shared" si="29"/>
        <v>Ok</v>
      </c>
      <c r="N348" s="3">
        <f>_xlfn.XLOOKUP(B348, Properties!A:A, Properties!D:D, FALSE)</f>
        <v>114744</v>
      </c>
    </row>
    <row r="349" spans="1:14" x14ac:dyDescent="0.3">
      <c r="A349">
        <v>423</v>
      </c>
      <c r="B349">
        <v>127</v>
      </c>
      <c r="C349">
        <v>7</v>
      </c>
      <c r="D349" s="3">
        <v>104538</v>
      </c>
      <c r="E349" t="s">
        <v>256</v>
      </c>
      <c r="F349" s="1" t="s">
        <v>407</v>
      </c>
      <c r="G349" t="str">
        <f>_xlfn.XLOOKUP(B349, Properties!A:A, Properties!B:B, FALSE)</f>
        <v>Becej</v>
      </c>
      <c r="H349" t="str">
        <f>_xlfn.XLOOKUP(C349, Agents!A:A, Agents!B:B, FALSE)</f>
        <v>Ana Markovic</v>
      </c>
      <c r="I349" t="str">
        <f t="shared" si="25"/>
        <v>2024-10</v>
      </c>
      <c r="J349" s="5" t="str">
        <f t="shared" si="26"/>
        <v>Standard</v>
      </c>
      <c r="K349" s="5" t="str">
        <f t="shared" si="27"/>
        <v>Low</v>
      </c>
      <c r="L349" s="5" t="str">
        <f t="shared" si="28"/>
        <v>No</v>
      </c>
      <c r="M349" s="5" t="str">
        <f t="shared" si="29"/>
        <v>Attention Needed</v>
      </c>
      <c r="N349" s="3">
        <f>_xlfn.XLOOKUP(B349, Properties!A:A, Properties!D:D, FALSE)</f>
        <v>220983</v>
      </c>
    </row>
    <row r="350" spans="1:14" x14ac:dyDescent="0.3">
      <c r="A350">
        <v>381</v>
      </c>
      <c r="B350">
        <v>213</v>
      </c>
      <c r="C350">
        <v>2</v>
      </c>
      <c r="D350" s="3">
        <v>104278</v>
      </c>
      <c r="E350" t="s">
        <v>259</v>
      </c>
      <c r="F350" s="1" t="s">
        <v>396</v>
      </c>
      <c r="G350" t="str">
        <f>_xlfn.XLOOKUP(B350, Properties!A:A, Properties!B:B, FALSE)</f>
        <v>Novi Sad</v>
      </c>
      <c r="H350" t="str">
        <f>_xlfn.XLOOKUP(C350, Agents!A:A, Agents!B:B, FALSE)</f>
        <v>Jelena Petrovic</v>
      </c>
      <c r="I350" t="str">
        <f t="shared" si="25"/>
        <v>2024-06</v>
      </c>
      <c r="J350" s="5" t="str">
        <f t="shared" si="26"/>
        <v>Standard</v>
      </c>
      <c r="K350" s="5" t="str">
        <f t="shared" si="27"/>
        <v>Low</v>
      </c>
      <c r="L350" s="5" t="str">
        <f t="shared" si="28"/>
        <v>No</v>
      </c>
      <c r="M350" s="5" t="str">
        <f t="shared" si="29"/>
        <v>Ok</v>
      </c>
      <c r="N350" s="3">
        <f>_xlfn.XLOOKUP(B350, Properties!A:A, Properties!D:D, FALSE)</f>
        <v>204053</v>
      </c>
    </row>
    <row r="351" spans="1:14" x14ac:dyDescent="0.3">
      <c r="A351">
        <v>398</v>
      </c>
      <c r="B351">
        <v>60</v>
      </c>
      <c r="C351">
        <v>3</v>
      </c>
      <c r="D351" s="3">
        <v>104112</v>
      </c>
      <c r="E351" t="s">
        <v>256</v>
      </c>
      <c r="F351" s="1" t="s">
        <v>124</v>
      </c>
      <c r="G351" t="str">
        <f>_xlfn.XLOOKUP(B351, Properties!A:A, Properties!B:B, FALSE)</f>
        <v>Novi Sad</v>
      </c>
      <c r="H351" t="str">
        <f>_xlfn.XLOOKUP(C351, Agents!A:A, Agents!B:B, FALSE)</f>
        <v>Ivan Stankovic</v>
      </c>
      <c r="I351" t="str">
        <f t="shared" si="25"/>
        <v>2024-09</v>
      </c>
      <c r="J351" s="5" t="str">
        <f t="shared" si="26"/>
        <v>Standard</v>
      </c>
      <c r="K351" s="5" t="str">
        <f t="shared" si="27"/>
        <v>Low</v>
      </c>
      <c r="L351" s="5" t="str">
        <f t="shared" si="28"/>
        <v>No</v>
      </c>
      <c r="M351" s="5" t="str">
        <f t="shared" si="29"/>
        <v>Attention Needed</v>
      </c>
      <c r="N351" s="3">
        <f>_xlfn.XLOOKUP(B351, Properties!A:A, Properties!D:D, FALSE)</f>
        <v>219622</v>
      </c>
    </row>
    <row r="352" spans="1:14" x14ac:dyDescent="0.3">
      <c r="A352">
        <v>17</v>
      </c>
      <c r="B352">
        <v>59</v>
      </c>
      <c r="C352">
        <v>8</v>
      </c>
      <c r="D352" s="3">
        <v>103797</v>
      </c>
      <c r="E352" t="s">
        <v>259</v>
      </c>
      <c r="F352" s="1" t="s">
        <v>42</v>
      </c>
      <c r="G352" t="str">
        <f>_xlfn.XLOOKUP(B352, Properties!A:A, Properties!B:B, FALSE)</f>
        <v>Novi Sad</v>
      </c>
      <c r="H352" t="str">
        <f>_xlfn.XLOOKUP(C352, Agents!A:A, Agents!B:B, FALSE)</f>
        <v>Mina Lukic</v>
      </c>
      <c r="I352" t="str">
        <f t="shared" si="25"/>
        <v>2025-01</v>
      </c>
      <c r="J352" s="5" t="str">
        <f t="shared" si="26"/>
        <v>Standard</v>
      </c>
      <c r="K352" s="5" t="str">
        <f t="shared" si="27"/>
        <v>Low</v>
      </c>
      <c r="L352" s="5" t="str">
        <f t="shared" si="28"/>
        <v>No</v>
      </c>
      <c r="M352" s="5" t="str">
        <f t="shared" si="29"/>
        <v>Ok</v>
      </c>
      <c r="N352" s="3">
        <f>_xlfn.XLOOKUP(B352, Properties!A:A, Properties!D:D, FALSE)</f>
        <v>205368</v>
      </c>
    </row>
    <row r="353" spans="1:14" x14ac:dyDescent="0.3">
      <c r="A353">
        <v>258</v>
      </c>
      <c r="B353">
        <v>206</v>
      </c>
      <c r="C353">
        <v>2</v>
      </c>
      <c r="D353" s="3">
        <v>103721</v>
      </c>
      <c r="E353" t="s">
        <v>259</v>
      </c>
      <c r="F353" s="1" t="s">
        <v>82</v>
      </c>
      <c r="G353" t="str">
        <f>_xlfn.XLOOKUP(B353, Properties!A:A, Properties!B:B, FALSE)</f>
        <v>Subotica</v>
      </c>
      <c r="H353" t="str">
        <f>_xlfn.XLOOKUP(C353, Agents!A:A, Agents!B:B, FALSE)</f>
        <v>Jelena Petrovic</v>
      </c>
      <c r="I353" t="str">
        <f t="shared" si="25"/>
        <v>2024-09</v>
      </c>
      <c r="J353" s="5" t="str">
        <f t="shared" si="26"/>
        <v>Standard</v>
      </c>
      <c r="K353" s="5" t="str">
        <f t="shared" si="27"/>
        <v>Low</v>
      </c>
      <c r="L353" s="5" t="str">
        <f t="shared" si="28"/>
        <v>No</v>
      </c>
      <c r="M353" s="5" t="str">
        <f t="shared" si="29"/>
        <v>Ok</v>
      </c>
      <c r="N353" s="3">
        <f>_xlfn.XLOOKUP(B353, Properties!A:A, Properties!D:D, FALSE)</f>
        <v>186278</v>
      </c>
    </row>
    <row r="354" spans="1:14" x14ac:dyDescent="0.3">
      <c r="A354">
        <v>448</v>
      </c>
      <c r="B354">
        <v>112</v>
      </c>
      <c r="C354">
        <v>2</v>
      </c>
      <c r="D354" s="3">
        <v>103407</v>
      </c>
      <c r="E354" t="s">
        <v>259</v>
      </c>
      <c r="F354" s="1" t="s">
        <v>307</v>
      </c>
      <c r="G354" t="str">
        <f>_xlfn.XLOOKUP(B354, Properties!A:A, Properties!B:B, FALSE)</f>
        <v>Nis</v>
      </c>
      <c r="H354" t="str">
        <f>_xlfn.XLOOKUP(C354, Agents!A:A, Agents!B:B, FALSE)</f>
        <v>Jelena Petrovic</v>
      </c>
      <c r="I354" t="str">
        <f t="shared" si="25"/>
        <v>2025-01</v>
      </c>
      <c r="J354" s="5" t="str">
        <f t="shared" si="26"/>
        <v>Standard</v>
      </c>
      <c r="K354" s="5" t="str">
        <f t="shared" si="27"/>
        <v>Low</v>
      </c>
      <c r="L354" s="5" t="str">
        <f t="shared" si="28"/>
        <v>No</v>
      </c>
      <c r="M354" s="5" t="str">
        <f t="shared" si="29"/>
        <v>Ok</v>
      </c>
      <c r="N354" s="3">
        <f>_xlfn.XLOOKUP(B354, Properties!A:A, Properties!D:D, FALSE)</f>
        <v>192702</v>
      </c>
    </row>
    <row r="355" spans="1:14" x14ac:dyDescent="0.3">
      <c r="A355">
        <v>24</v>
      </c>
      <c r="B355">
        <v>155</v>
      </c>
      <c r="C355">
        <v>7</v>
      </c>
      <c r="D355" s="3">
        <v>103283</v>
      </c>
      <c r="E355" t="s">
        <v>259</v>
      </c>
      <c r="F355" s="1" t="s">
        <v>135</v>
      </c>
      <c r="G355" t="str">
        <f>_xlfn.XLOOKUP(B355, Properties!A:A, Properties!B:B, FALSE)</f>
        <v>Nis</v>
      </c>
      <c r="H355" t="str">
        <f>_xlfn.XLOOKUP(C355, Agents!A:A, Agents!B:B, FALSE)</f>
        <v>Ana Markovic</v>
      </c>
      <c r="I355" t="str">
        <f t="shared" si="25"/>
        <v>2024-01</v>
      </c>
      <c r="J355" s="5" t="str">
        <f t="shared" si="26"/>
        <v>Standard</v>
      </c>
      <c r="K355" s="5" t="str">
        <f t="shared" si="27"/>
        <v>Low</v>
      </c>
      <c r="L355" s="5" t="str">
        <f t="shared" si="28"/>
        <v>No</v>
      </c>
      <c r="M355" s="5" t="str">
        <f t="shared" si="29"/>
        <v>Ok</v>
      </c>
      <c r="N355" s="3">
        <f>_xlfn.XLOOKUP(B355, Properties!A:A, Properties!D:D, FALSE)</f>
        <v>71722</v>
      </c>
    </row>
    <row r="356" spans="1:14" x14ac:dyDescent="0.3">
      <c r="A356">
        <v>416</v>
      </c>
      <c r="B356">
        <v>220</v>
      </c>
      <c r="C356">
        <v>3</v>
      </c>
      <c r="D356" s="3">
        <v>102999</v>
      </c>
      <c r="E356" t="s">
        <v>257</v>
      </c>
      <c r="F356" s="1" t="s">
        <v>68</v>
      </c>
      <c r="G356" t="str">
        <f>_xlfn.XLOOKUP(B356, Properties!A:A, Properties!B:B, FALSE)</f>
        <v>Becej</v>
      </c>
      <c r="H356" t="str">
        <f>_xlfn.XLOOKUP(C356, Agents!A:A, Agents!B:B, FALSE)</f>
        <v>Ivan Stankovic</v>
      </c>
      <c r="I356" t="str">
        <f t="shared" si="25"/>
        <v>2025-02</v>
      </c>
      <c r="J356" s="5" t="str">
        <f t="shared" si="26"/>
        <v>Standard</v>
      </c>
      <c r="K356" s="5" t="str">
        <f t="shared" si="27"/>
        <v>Low</v>
      </c>
      <c r="L356" s="5" t="str">
        <f t="shared" si="28"/>
        <v>No</v>
      </c>
      <c r="M356" s="5" t="str">
        <f t="shared" si="29"/>
        <v>Attention Needed</v>
      </c>
      <c r="N356" s="3">
        <f>_xlfn.XLOOKUP(B356, Properties!A:A, Properties!D:D, FALSE)</f>
        <v>219945</v>
      </c>
    </row>
    <row r="357" spans="1:14" x14ac:dyDescent="0.3">
      <c r="A357">
        <v>122</v>
      </c>
      <c r="B357">
        <v>83</v>
      </c>
      <c r="C357">
        <v>4</v>
      </c>
      <c r="D357" s="3">
        <v>102560</v>
      </c>
      <c r="E357" t="s">
        <v>257</v>
      </c>
      <c r="F357" s="1" t="s">
        <v>198</v>
      </c>
      <c r="G357" t="str">
        <f>_xlfn.XLOOKUP(B357, Properties!A:A, Properties!B:B, FALSE)</f>
        <v>Nis</v>
      </c>
      <c r="H357" t="str">
        <f>_xlfn.XLOOKUP(C357, Agents!A:A, Agents!B:B, FALSE)</f>
        <v>Marko Jovic</v>
      </c>
      <c r="I357" t="str">
        <f t="shared" si="25"/>
        <v>2025-03</v>
      </c>
      <c r="J357" s="5" t="str">
        <f t="shared" si="26"/>
        <v>Standard</v>
      </c>
      <c r="K357" s="5" t="str">
        <f t="shared" si="27"/>
        <v>Low</v>
      </c>
      <c r="L357" s="5" t="str">
        <f t="shared" si="28"/>
        <v>No</v>
      </c>
      <c r="M357" s="5" t="str">
        <f t="shared" si="29"/>
        <v>Attention Needed</v>
      </c>
      <c r="N357" s="3">
        <f>_xlfn.XLOOKUP(B357, Properties!A:A, Properties!D:D, FALSE)</f>
        <v>207002</v>
      </c>
    </row>
    <row r="358" spans="1:14" x14ac:dyDescent="0.3">
      <c r="A358">
        <v>229</v>
      </c>
      <c r="B358">
        <v>242</v>
      </c>
      <c r="C358">
        <v>1</v>
      </c>
      <c r="D358" s="3">
        <v>102394</v>
      </c>
      <c r="E358" t="s">
        <v>257</v>
      </c>
      <c r="F358" s="1" t="s">
        <v>353</v>
      </c>
      <c r="G358" t="str">
        <f>_xlfn.XLOOKUP(B358, Properties!A:A, Properties!B:B, FALSE)</f>
        <v>Becej</v>
      </c>
      <c r="H358" t="str">
        <f>_xlfn.XLOOKUP(C358, Agents!A:A, Agents!B:B, FALSE)</f>
        <v>Ana Markovic</v>
      </c>
      <c r="I358" t="str">
        <f t="shared" si="25"/>
        <v>2024-09</v>
      </c>
      <c r="J358" s="5" t="str">
        <f t="shared" si="26"/>
        <v>Standard</v>
      </c>
      <c r="K358" s="5" t="str">
        <f t="shared" si="27"/>
        <v>Low</v>
      </c>
      <c r="L358" s="5" t="str">
        <f t="shared" si="28"/>
        <v>No</v>
      </c>
      <c r="M358" s="5" t="str">
        <f t="shared" si="29"/>
        <v>Attention Needed</v>
      </c>
      <c r="N358" s="3">
        <f>_xlfn.XLOOKUP(B358, Properties!A:A, Properties!D:D, FALSE)</f>
        <v>38556</v>
      </c>
    </row>
    <row r="359" spans="1:14" x14ac:dyDescent="0.3">
      <c r="A359">
        <v>399</v>
      </c>
      <c r="B359">
        <v>199</v>
      </c>
      <c r="C359">
        <v>7</v>
      </c>
      <c r="D359" s="3">
        <v>102282</v>
      </c>
      <c r="E359" t="s">
        <v>257</v>
      </c>
      <c r="F359" s="1" t="s">
        <v>153</v>
      </c>
      <c r="G359" t="str">
        <f>_xlfn.XLOOKUP(B359, Properties!A:A, Properties!B:B, FALSE)</f>
        <v>Subotica</v>
      </c>
      <c r="H359" t="str">
        <f>_xlfn.XLOOKUP(C359, Agents!A:A, Agents!B:B, FALSE)</f>
        <v>Ana Markovic</v>
      </c>
      <c r="I359" t="str">
        <f t="shared" si="25"/>
        <v>2024-10</v>
      </c>
      <c r="J359" s="5" t="str">
        <f t="shared" si="26"/>
        <v>Standard</v>
      </c>
      <c r="K359" s="5" t="str">
        <f t="shared" si="27"/>
        <v>Low</v>
      </c>
      <c r="L359" s="5" t="str">
        <f t="shared" si="28"/>
        <v>No</v>
      </c>
      <c r="M359" s="5" t="str">
        <f t="shared" si="29"/>
        <v>Attention Needed</v>
      </c>
      <c r="N359" s="3">
        <f>_xlfn.XLOOKUP(B359, Properties!A:A, Properties!D:D, FALSE)</f>
        <v>151863</v>
      </c>
    </row>
    <row r="360" spans="1:14" x14ac:dyDescent="0.3">
      <c r="A360">
        <v>76</v>
      </c>
      <c r="B360">
        <v>105</v>
      </c>
      <c r="C360">
        <v>5</v>
      </c>
      <c r="D360" s="3">
        <v>101950</v>
      </c>
      <c r="E360" t="s">
        <v>259</v>
      </c>
      <c r="F360" s="1" t="s">
        <v>288</v>
      </c>
      <c r="G360" t="str">
        <f>_xlfn.XLOOKUP(B360, Properties!A:A, Properties!B:B, FALSE)</f>
        <v>Novi Sad</v>
      </c>
      <c r="H360" t="str">
        <f>_xlfn.XLOOKUP(C360, Agents!A:A, Agents!B:B, FALSE)</f>
        <v>Mina Lukic</v>
      </c>
      <c r="I360" t="str">
        <f t="shared" si="25"/>
        <v>2025-01</v>
      </c>
      <c r="J360" s="5" t="str">
        <f t="shared" si="26"/>
        <v>Standard</v>
      </c>
      <c r="K360" s="5" t="str">
        <f t="shared" si="27"/>
        <v>Low</v>
      </c>
      <c r="L360" s="5" t="str">
        <f t="shared" si="28"/>
        <v>No</v>
      </c>
      <c r="M360" s="5" t="str">
        <f t="shared" si="29"/>
        <v>Ok</v>
      </c>
      <c r="N360" s="3">
        <f>_xlfn.XLOOKUP(B360, Properties!A:A, Properties!D:D, FALSE)</f>
        <v>174619</v>
      </c>
    </row>
    <row r="361" spans="1:14" x14ac:dyDescent="0.3">
      <c r="A361">
        <v>467</v>
      </c>
      <c r="B361">
        <v>90</v>
      </c>
      <c r="C361">
        <v>2</v>
      </c>
      <c r="D361" s="3">
        <v>101938</v>
      </c>
      <c r="E361" t="s">
        <v>259</v>
      </c>
      <c r="F361" s="1" t="s">
        <v>183</v>
      </c>
      <c r="G361" t="str">
        <f>_xlfn.XLOOKUP(B361, Properties!A:A, Properties!B:B, FALSE)</f>
        <v>Belgrade</v>
      </c>
      <c r="H361" t="str">
        <f>_xlfn.XLOOKUP(C361, Agents!A:A, Agents!B:B, FALSE)</f>
        <v>Jelena Petrovic</v>
      </c>
      <c r="I361" t="str">
        <f t="shared" si="25"/>
        <v>2024-12</v>
      </c>
      <c r="J361" s="5" t="str">
        <f t="shared" si="26"/>
        <v>Standard</v>
      </c>
      <c r="K361" s="5" t="str">
        <f t="shared" si="27"/>
        <v>Low</v>
      </c>
      <c r="L361" s="5" t="str">
        <f t="shared" si="28"/>
        <v>No</v>
      </c>
      <c r="M361" s="5" t="str">
        <f t="shared" si="29"/>
        <v>Ok</v>
      </c>
      <c r="N361" s="3">
        <f>_xlfn.XLOOKUP(B361, Properties!A:A, Properties!D:D, FALSE)</f>
        <v>150136</v>
      </c>
    </row>
    <row r="362" spans="1:14" x14ac:dyDescent="0.3">
      <c r="A362">
        <v>10</v>
      </c>
      <c r="B362">
        <v>98</v>
      </c>
      <c r="C362">
        <v>10</v>
      </c>
      <c r="D362" s="3">
        <v>101711</v>
      </c>
      <c r="E362" t="s">
        <v>256</v>
      </c>
      <c r="F362" s="1" t="s">
        <v>25</v>
      </c>
      <c r="G362" t="str">
        <f>_xlfn.XLOOKUP(B362, Properties!A:A, Properties!B:B, FALSE)</f>
        <v>Novi Sad</v>
      </c>
      <c r="H362" t="str">
        <f>_xlfn.XLOOKUP(C362, Agents!A:A, Agents!B:B, FALSE)</f>
        <v>Marko Jovic</v>
      </c>
      <c r="I362" t="str">
        <f t="shared" si="25"/>
        <v>2024-11</v>
      </c>
      <c r="J362" s="5" t="str">
        <f t="shared" si="26"/>
        <v>Standard</v>
      </c>
      <c r="K362" s="5" t="str">
        <f t="shared" si="27"/>
        <v>Low</v>
      </c>
      <c r="L362" s="5" t="str">
        <f t="shared" si="28"/>
        <v>No</v>
      </c>
      <c r="M362" s="5" t="str">
        <f t="shared" si="29"/>
        <v>Attention Needed</v>
      </c>
      <c r="N362" s="3">
        <f>_xlfn.XLOOKUP(B362, Properties!A:A, Properties!D:D, FALSE)</f>
        <v>60258</v>
      </c>
    </row>
    <row r="363" spans="1:14" x14ac:dyDescent="0.3">
      <c r="A363">
        <v>172</v>
      </c>
      <c r="B363">
        <v>252</v>
      </c>
      <c r="C363">
        <v>4</v>
      </c>
      <c r="D363" s="3">
        <v>101160</v>
      </c>
      <c r="E363" t="s">
        <v>259</v>
      </c>
      <c r="F363" s="1" t="s">
        <v>178</v>
      </c>
      <c r="G363" t="str">
        <f>_xlfn.XLOOKUP(B363, Properties!A:A, Properties!B:B, FALSE)</f>
        <v>Nis</v>
      </c>
      <c r="H363" t="str">
        <f>_xlfn.XLOOKUP(C363, Agents!A:A, Agents!B:B, FALSE)</f>
        <v>Marko Jovic</v>
      </c>
      <c r="I363" t="str">
        <f t="shared" si="25"/>
        <v>2025-03</v>
      </c>
      <c r="J363" s="5" t="str">
        <f t="shared" si="26"/>
        <v>Standard</v>
      </c>
      <c r="K363" s="5" t="str">
        <f t="shared" si="27"/>
        <v>Low</v>
      </c>
      <c r="L363" s="5" t="str">
        <f t="shared" si="28"/>
        <v>No</v>
      </c>
      <c r="M363" s="5" t="str">
        <f t="shared" si="29"/>
        <v>Ok</v>
      </c>
      <c r="N363" s="3">
        <f>_xlfn.XLOOKUP(B363, Properties!A:A, Properties!D:D, FALSE)</f>
        <v>143253</v>
      </c>
    </row>
    <row r="364" spans="1:14" x14ac:dyDescent="0.3">
      <c r="A364">
        <v>301</v>
      </c>
      <c r="B364">
        <v>214</v>
      </c>
      <c r="C364">
        <v>9</v>
      </c>
      <c r="D364" s="3">
        <v>100303</v>
      </c>
      <c r="E364" t="s">
        <v>257</v>
      </c>
      <c r="F364" s="1" t="s">
        <v>374</v>
      </c>
      <c r="G364" t="str">
        <f>_xlfn.XLOOKUP(B364, Properties!A:A, Properties!B:B, FALSE)</f>
        <v>Subotica</v>
      </c>
      <c r="H364" t="str">
        <f>_xlfn.XLOOKUP(C364, Agents!A:A, Agents!B:B, FALSE)</f>
        <v>Ivan Stankovic</v>
      </c>
      <c r="I364" t="str">
        <f t="shared" si="25"/>
        <v>2024-07</v>
      </c>
      <c r="J364" s="5" t="str">
        <f t="shared" si="26"/>
        <v>Standard</v>
      </c>
      <c r="K364" s="5" t="str">
        <f t="shared" si="27"/>
        <v>Low</v>
      </c>
      <c r="L364" s="5" t="str">
        <f t="shared" si="28"/>
        <v>No</v>
      </c>
      <c r="M364" s="5" t="str">
        <f t="shared" si="29"/>
        <v>Attention Needed</v>
      </c>
      <c r="N364" s="3">
        <f>_xlfn.XLOOKUP(B364, Properties!A:A, Properties!D:D, FALSE)</f>
        <v>175089</v>
      </c>
    </row>
    <row r="365" spans="1:14" x14ac:dyDescent="0.3">
      <c r="A365">
        <v>444</v>
      </c>
      <c r="B365">
        <v>154</v>
      </c>
      <c r="C365">
        <v>3</v>
      </c>
      <c r="D365" s="3">
        <v>99806</v>
      </c>
      <c r="E365" t="s">
        <v>256</v>
      </c>
      <c r="F365" s="1" t="s">
        <v>47</v>
      </c>
      <c r="G365" t="str">
        <f>_xlfn.XLOOKUP(B365, Properties!A:A, Properties!B:B, FALSE)</f>
        <v>Becej</v>
      </c>
      <c r="H365" t="str">
        <f>_xlfn.XLOOKUP(C365, Agents!A:A, Agents!B:B, FALSE)</f>
        <v>Ivan Stankovic</v>
      </c>
      <c r="I365" t="str">
        <f t="shared" si="25"/>
        <v>2024-11</v>
      </c>
      <c r="J365" s="5" t="str">
        <f t="shared" si="26"/>
        <v>Standard</v>
      </c>
      <c r="K365" s="5" t="str">
        <f t="shared" si="27"/>
        <v>Low</v>
      </c>
      <c r="L365" s="5" t="str">
        <f t="shared" si="28"/>
        <v>No</v>
      </c>
      <c r="M365" s="5" t="str">
        <f t="shared" si="29"/>
        <v>Attention Needed</v>
      </c>
      <c r="N365" s="3">
        <f>_xlfn.XLOOKUP(B365, Properties!A:A, Properties!D:D, FALSE)</f>
        <v>247728</v>
      </c>
    </row>
    <row r="366" spans="1:14" x14ac:dyDescent="0.3">
      <c r="A366">
        <v>281</v>
      </c>
      <c r="B366">
        <v>194</v>
      </c>
      <c r="C366">
        <v>7</v>
      </c>
      <c r="D366" s="3">
        <v>99724</v>
      </c>
      <c r="E366" t="s">
        <v>259</v>
      </c>
      <c r="F366" s="1" t="s">
        <v>365</v>
      </c>
      <c r="G366" t="str">
        <f>_xlfn.XLOOKUP(B366, Properties!A:A, Properties!B:B, FALSE)</f>
        <v>Subotica</v>
      </c>
      <c r="H366" t="str">
        <f>_xlfn.XLOOKUP(C366, Agents!A:A, Agents!B:B, FALSE)</f>
        <v>Ana Markovic</v>
      </c>
      <c r="I366" t="str">
        <f t="shared" si="25"/>
        <v>2024-11</v>
      </c>
      <c r="J366" s="5" t="str">
        <f t="shared" si="26"/>
        <v>Standard</v>
      </c>
      <c r="K366" s="5" t="str">
        <f t="shared" si="27"/>
        <v>Low</v>
      </c>
      <c r="L366" s="5" t="str">
        <f t="shared" si="28"/>
        <v>No</v>
      </c>
      <c r="M366" s="5" t="str">
        <f t="shared" si="29"/>
        <v>Ok</v>
      </c>
      <c r="N366" s="3">
        <f>_xlfn.XLOOKUP(B366, Properties!A:A, Properties!D:D, FALSE)</f>
        <v>162634</v>
      </c>
    </row>
    <row r="367" spans="1:14" x14ac:dyDescent="0.3">
      <c r="A367">
        <v>434</v>
      </c>
      <c r="B367">
        <v>220</v>
      </c>
      <c r="C367">
        <v>4</v>
      </c>
      <c r="D367" s="3">
        <v>99160</v>
      </c>
      <c r="E367" t="s">
        <v>257</v>
      </c>
      <c r="F367" s="1" t="s">
        <v>179</v>
      </c>
      <c r="G367" t="str">
        <f>_xlfn.XLOOKUP(B367, Properties!A:A, Properties!B:B, FALSE)</f>
        <v>Becej</v>
      </c>
      <c r="H367" t="str">
        <f>_xlfn.XLOOKUP(C367, Agents!A:A, Agents!B:B, FALSE)</f>
        <v>Marko Jovic</v>
      </c>
      <c r="I367" t="str">
        <f t="shared" si="25"/>
        <v>2025-03</v>
      </c>
      <c r="J367" s="5" t="str">
        <f t="shared" si="26"/>
        <v>Standard</v>
      </c>
      <c r="K367" s="5" t="str">
        <f t="shared" si="27"/>
        <v>Low</v>
      </c>
      <c r="L367" s="5" t="str">
        <f t="shared" si="28"/>
        <v>No</v>
      </c>
      <c r="M367" s="5" t="str">
        <f t="shared" si="29"/>
        <v>Attention Needed</v>
      </c>
      <c r="N367" s="3">
        <f>_xlfn.XLOOKUP(B367, Properties!A:A, Properties!D:D, FALSE)</f>
        <v>219945</v>
      </c>
    </row>
    <row r="368" spans="1:14" x14ac:dyDescent="0.3">
      <c r="A368">
        <v>12</v>
      </c>
      <c r="B368">
        <v>297</v>
      </c>
      <c r="C368">
        <v>6</v>
      </c>
      <c r="D368" s="3">
        <v>98897</v>
      </c>
      <c r="E368" t="s">
        <v>257</v>
      </c>
      <c r="F368" s="1" t="s">
        <v>211</v>
      </c>
      <c r="G368" t="str">
        <f>_xlfn.XLOOKUP(B368, Properties!A:A, Properties!B:B, FALSE)</f>
        <v>Novi Sad</v>
      </c>
      <c r="H368" t="str">
        <f>_xlfn.XLOOKUP(C368, Agents!A:A, Agents!B:B, FALSE)</f>
        <v>Marko Jovic</v>
      </c>
      <c r="I368" t="str">
        <f t="shared" si="25"/>
        <v>2024-02</v>
      </c>
      <c r="J368" s="5" t="str">
        <f t="shared" si="26"/>
        <v>Standard</v>
      </c>
      <c r="K368" s="5" t="str">
        <f t="shared" si="27"/>
        <v>Low</v>
      </c>
      <c r="L368" s="5" t="str">
        <f t="shared" si="28"/>
        <v>No</v>
      </c>
      <c r="M368" s="5" t="str">
        <f t="shared" si="29"/>
        <v>Attention Needed</v>
      </c>
      <c r="N368" s="3">
        <f>_xlfn.XLOOKUP(B368, Properties!A:A, Properties!D:D, FALSE)</f>
        <v>89634</v>
      </c>
    </row>
    <row r="369" spans="1:14" x14ac:dyDescent="0.3">
      <c r="A369">
        <v>198</v>
      </c>
      <c r="B369">
        <v>164</v>
      </c>
      <c r="C369">
        <v>6</v>
      </c>
      <c r="D369" s="3">
        <v>98559</v>
      </c>
      <c r="E369" t="s">
        <v>256</v>
      </c>
      <c r="F369" s="1" t="s">
        <v>239</v>
      </c>
      <c r="G369" t="str">
        <f>_xlfn.XLOOKUP(B369, Properties!A:A, Properties!B:B, FALSE)</f>
        <v>Subotica</v>
      </c>
      <c r="H369" t="str">
        <f>_xlfn.XLOOKUP(C369, Agents!A:A, Agents!B:B, FALSE)</f>
        <v>Marko Jovic</v>
      </c>
      <c r="I369" t="str">
        <f t="shared" si="25"/>
        <v>2025-01</v>
      </c>
      <c r="J369" s="5" t="str">
        <f t="shared" si="26"/>
        <v>Standard</v>
      </c>
      <c r="K369" s="5" t="str">
        <f t="shared" si="27"/>
        <v>Low</v>
      </c>
      <c r="L369" s="5" t="str">
        <f t="shared" si="28"/>
        <v>No</v>
      </c>
      <c r="M369" s="5" t="str">
        <f t="shared" si="29"/>
        <v>Attention Needed</v>
      </c>
      <c r="N369" s="3">
        <f>_xlfn.XLOOKUP(B369, Properties!A:A, Properties!D:D, FALSE)</f>
        <v>138992</v>
      </c>
    </row>
    <row r="370" spans="1:14" x14ac:dyDescent="0.3">
      <c r="A370">
        <v>493</v>
      </c>
      <c r="B370">
        <v>291</v>
      </c>
      <c r="C370">
        <v>1</v>
      </c>
      <c r="D370" s="3">
        <v>98528</v>
      </c>
      <c r="E370" t="s">
        <v>256</v>
      </c>
      <c r="F370" s="1" t="s">
        <v>371</v>
      </c>
      <c r="G370" t="str">
        <f>_xlfn.XLOOKUP(B370, Properties!A:A, Properties!B:B, FALSE)</f>
        <v>Becej</v>
      </c>
      <c r="H370" t="str">
        <f>_xlfn.XLOOKUP(C370, Agents!A:A, Agents!B:B, FALSE)</f>
        <v>Ana Markovic</v>
      </c>
      <c r="I370" t="str">
        <f t="shared" si="25"/>
        <v>2024-05</v>
      </c>
      <c r="J370" s="5" t="str">
        <f t="shared" si="26"/>
        <v>Standard</v>
      </c>
      <c r="K370" s="5" t="str">
        <f t="shared" si="27"/>
        <v>Low</v>
      </c>
      <c r="L370" s="5" t="str">
        <f t="shared" si="28"/>
        <v>No</v>
      </c>
      <c r="M370" s="5" t="str">
        <f t="shared" si="29"/>
        <v>Attention Needed</v>
      </c>
      <c r="N370" s="3">
        <f>_xlfn.XLOOKUP(B370, Properties!A:A, Properties!D:D, FALSE)</f>
        <v>219384</v>
      </c>
    </row>
    <row r="371" spans="1:14" x14ac:dyDescent="0.3">
      <c r="A371">
        <v>430</v>
      </c>
      <c r="B371">
        <v>146</v>
      </c>
      <c r="C371">
        <v>6</v>
      </c>
      <c r="D371" s="3">
        <v>98468</v>
      </c>
      <c r="E371" t="s">
        <v>257</v>
      </c>
      <c r="F371" s="1" t="s">
        <v>173</v>
      </c>
      <c r="G371" t="str">
        <f>_xlfn.XLOOKUP(B371, Properties!A:A, Properties!B:B, FALSE)</f>
        <v>Belgrade</v>
      </c>
      <c r="H371" t="str">
        <f>_xlfn.XLOOKUP(C371, Agents!A:A, Agents!B:B, FALSE)</f>
        <v>Marko Jovic</v>
      </c>
      <c r="I371" t="str">
        <f t="shared" si="25"/>
        <v>2024-10</v>
      </c>
      <c r="J371" s="5" t="str">
        <f t="shared" si="26"/>
        <v>Standard</v>
      </c>
      <c r="K371" s="5" t="str">
        <f t="shared" si="27"/>
        <v>Low</v>
      </c>
      <c r="L371" s="5" t="str">
        <f t="shared" si="28"/>
        <v>No</v>
      </c>
      <c r="M371" s="5" t="str">
        <f t="shared" si="29"/>
        <v>Attention Needed</v>
      </c>
      <c r="N371" s="3">
        <f>_xlfn.XLOOKUP(B371, Properties!A:A, Properties!D:D, FALSE)</f>
        <v>138643</v>
      </c>
    </row>
    <row r="372" spans="1:14" x14ac:dyDescent="0.3">
      <c r="A372">
        <v>37</v>
      </c>
      <c r="B372">
        <v>2</v>
      </c>
      <c r="C372">
        <v>5</v>
      </c>
      <c r="D372" s="3">
        <v>98153</v>
      </c>
      <c r="E372" t="s">
        <v>259</v>
      </c>
      <c r="F372" s="1" t="s">
        <v>165</v>
      </c>
      <c r="G372" t="str">
        <f>_xlfn.XLOOKUP(B372, Properties!A:A, Properties!B:B, FALSE)</f>
        <v>Novi Sad</v>
      </c>
      <c r="H372" t="str">
        <f>_xlfn.XLOOKUP(C372, Agents!A:A, Agents!B:B, FALSE)</f>
        <v>Mina Lukic</v>
      </c>
      <c r="I372" t="str">
        <f t="shared" si="25"/>
        <v>2024-10</v>
      </c>
      <c r="J372" s="5" t="str">
        <f t="shared" si="26"/>
        <v>Standard</v>
      </c>
      <c r="K372" s="5" t="str">
        <f t="shared" si="27"/>
        <v>Low</v>
      </c>
      <c r="L372" s="5" t="str">
        <f t="shared" si="28"/>
        <v>No</v>
      </c>
      <c r="M372" s="5" t="str">
        <f t="shared" si="29"/>
        <v>Ok</v>
      </c>
      <c r="N372" s="3">
        <f>_xlfn.XLOOKUP(B372, Properties!A:A, Properties!D:D, FALSE)</f>
        <v>66579</v>
      </c>
    </row>
    <row r="373" spans="1:14" x14ac:dyDescent="0.3">
      <c r="A373">
        <v>78</v>
      </c>
      <c r="B373">
        <v>255</v>
      </c>
      <c r="C373">
        <v>7</v>
      </c>
      <c r="D373" s="3">
        <v>97730</v>
      </c>
      <c r="E373" t="s">
        <v>259</v>
      </c>
      <c r="F373" s="1" t="s">
        <v>21</v>
      </c>
      <c r="G373" t="str">
        <f>_xlfn.XLOOKUP(B373, Properties!A:A, Properties!B:B, FALSE)</f>
        <v>Subotica</v>
      </c>
      <c r="H373" t="str">
        <f>_xlfn.XLOOKUP(C373, Agents!A:A, Agents!B:B, FALSE)</f>
        <v>Ana Markovic</v>
      </c>
      <c r="I373" t="str">
        <f t="shared" si="25"/>
        <v>2024-07</v>
      </c>
      <c r="J373" s="5" t="str">
        <f t="shared" si="26"/>
        <v>Standard</v>
      </c>
      <c r="K373" s="5" t="str">
        <f t="shared" si="27"/>
        <v>Low</v>
      </c>
      <c r="L373" s="5" t="str">
        <f t="shared" si="28"/>
        <v>No</v>
      </c>
      <c r="M373" s="5" t="str">
        <f t="shared" si="29"/>
        <v>Ok</v>
      </c>
      <c r="N373" s="3">
        <f>_xlfn.XLOOKUP(B373, Properties!A:A, Properties!D:D, FALSE)</f>
        <v>230044</v>
      </c>
    </row>
    <row r="374" spans="1:14" x14ac:dyDescent="0.3">
      <c r="A374">
        <v>421</v>
      </c>
      <c r="B374">
        <v>31</v>
      </c>
      <c r="C374">
        <v>5</v>
      </c>
      <c r="D374" s="3">
        <v>96525</v>
      </c>
      <c r="E374" t="s">
        <v>257</v>
      </c>
      <c r="F374" s="1" t="s">
        <v>183</v>
      </c>
      <c r="G374" t="str">
        <f>_xlfn.XLOOKUP(B374, Properties!A:A, Properties!B:B, FALSE)</f>
        <v>Novi Sad</v>
      </c>
      <c r="H374" t="str">
        <f>_xlfn.XLOOKUP(C374, Agents!A:A, Agents!B:B, FALSE)</f>
        <v>Mina Lukic</v>
      </c>
      <c r="I374" t="str">
        <f t="shared" si="25"/>
        <v>2024-12</v>
      </c>
      <c r="J374" s="5" t="str">
        <f t="shared" si="26"/>
        <v>Standard</v>
      </c>
      <c r="K374" s="5" t="str">
        <f t="shared" si="27"/>
        <v>Low</v>
      </c>
      <c r="L374" s="5" t="str">
        <f t="shared" si="28"/>
        <v>No</v>
      </c>
      <c r="M374" s="5" t="str">
        <f t="shared" si="29"/>
        <v>Attention Needed</v>
      </c>
      <c r="N374" s="3">
        <f>_xlfn.XLOOKUP(B374, Properties!A:A, Properties!D:D, FALSE)</f>
        <v>53831</v>
      </c>
    </row>
    <row r="375" spans="1:14" x14ac:dyDescent="0.3">
      <c r="A375">
        <v>40</v>
      </c>
      <c r="B375">
        <v>90</v>
      </c>
      <c r="C375">
        <v>5</v>
      </c>
      <c r="D375" s="3">
        <v>96457</v>
      </c>
      <c r="E375" t="s">
        <v>259</v>
      </c>
      <c r="F375" s="1" t="s">
        <v>272</v>
      </c>
      <c r="G375" t="str">
        <f>_xlfn.XLOOKUP(B375, Properties!A:A, Properties!B:B, FALSE)</f>
        <v>Belgrade</v>
      </c>
      <c r="H375" t="str">
        <f>_xlfn.XLOOKUP(C375, Agents!A:A, Agents!B:B, FALSE)</f>
        <v>Mina Lukic</v>
      </c>
      <c r="I375" t="str">
        <f t="shared" si="25"/>
        <v>2025-01</v>
      </c>
      <c r="J375" s="5" t="str">
        <f t="shared" si="26"/>
        <v>Standard</v>
      </c>
      <c r="K375" s="5" t="str">
        <f t="shared" si="27"/>
        <v>Low</v>
      </c>
      <c r="L375" s="5" t="str">
        <f t="shared" si="28"/>
        <v>No</v>
      </c>
      <c r="M375" s="5" t="str">
        <f t="shared" si="29"/>
        <v>Ok</v>
      </c>
      <c r="N375" s="3">
        <f>_xlfn.XLOOKUP(B375, Properties!A:A, Properties!D:D, FALSE)</f>
        <v>150136</v>
      </c>
    </row>
    <row r="376" spans="1:14" x14ac:dyDescent="0.3">
      <c r="A376">
        <v>124</v>
      </c>
      <c r="B376">
        <v>191</v>
      </c>
      <c r="C376">
        <v>9</v>
      </c>
      <c r="D376" s="3">
        <v>95367</v>
      </c>
      <c r="E376" t="s">
        <v>259</v>
      </c>
      <c r="F376" s="1" t="s">
        <v>301</v>
      </c>
      <c r="G376" t="str">
        <f>_xlfn.XLOOKUP(B376, Properties!A:A, Properties!B:B, FALSE)</f>
        <v>Belgrade</v>
      </c>
      <c r="H376" t="str">
        <f>_xlfn.XLOOKUP(C376, Agents!A:A, Agents!B:B, FALSE)</f>
        <v>Ivan Stankovic</v>
      </c>
      <c r="I376" t="str">
        <f t="shared" si="25"/>
        <v>2024-05</v>
      </c>
      <c r="J376" s="5" t="str">
        <f t="shared" si="26"/>
        <v>Standard</v>
      </c>
      <c r="K376" s="5" t="str">
        <f t="shared" si="27"/>
        <v>Low</v>
      </c>
      <c r="L376" s="5" t="str">
        <f t="shared" si="28"/>
        <v>No</v>
      </c>
      <c r="M376" s="5" t="str">
        <f t="shared" si="29"/>
        <v>Ok</v>
      </c>
      <c r="N376" s="3">
        <f>_xlfn.XLOOKUP(B376, Properties!A:A, Properties!D:D, FALSE)</f>
        <v>56712</v>
      </c>
    </row>
    <row r="377" spans="1:14" x14ac:dyDescent="0.3">
      <c r="A377">
        <v>432</v>
      </c>
      <c r="B377">
        <v>51</v>
      </c>
      <c r="C377">
        <v>8</v>
      </c>
      <c r="D377" s="3">
        <v>95136</v>
      </c>
      <c r="E377" t="s">
        <v>259</v>
      </c>
      <c r="F377" s="1" t="s">
        <v>54</v>
      </c>
      <c r="G377" t="str">
        <f>_xlfn.XLOOKUP(B377, Properties!A:A, Properties!B:B, FALSE)</f>
        <v>Nis</v>
      </c>
      <c r="H377" t="str">
        <f>_xlfn.XLOOKUP(C377, Agents!A:A, Agents!B:B, FALSE)</f>
        <v>Mina Lukic</v>
      </c>
      <c r="I377" t="str">
        <f t="shared" si="25"/>
        <v>2025-04</v>
      </c>
      <c r="J377" s="5" t="str">
        <f t="shared" si="26"/>
        <v>Standard</v>
      </c>
      <c r="K377" s="5" t="str">
        <f t="shared" si="27"/>
        <v>Low</v>
      </c>
      <c r="L377" s="5" t="str">
        <f t="shared" si="28"/>
        <v>No</v>
      </c>
      <c r="M377" s="5" t="str">
        <f t="shared" si="29"/>
        <v>Ok</v>
      </c>
      <c r="N377" s="3">
        <f>_xlfn.XLOOKUP(B377, Properties!A:A, Properties!D:D, FALSE)</f>
        <v>216895</v>
      </c>
    </row>
    <row r="378" spans="1:14" x14ac:dyDescent="0.3">
      <c r="A378">
        <v>19</v>
      </c>
      <c r="B378">
        <v>203</v>
      </c>
      <c r="C378">
        <v>1</v>
      </c>
      <c r="D378" s="3">
        <v>94796</v>
      </c>
      <c r="E378" t="s">
        <v>256</v>
      </c>
      <c r="F378" s="1" t="s">
        <v>29</v>
      </c>
      <c r="G378" t="str">
        <f>_xlfn.XLOOKUP(B378, Properties!A:A, Properties!B:B, FALSE)</f>
        <v>Nis</v>
      </c>
      <c r="H378" t="str">
        <f>_xlfn.XLOOKUP(C378, Agents!A:A, Agents!B:B, FALSE)</f>
        <v>Ana Markovic</v>
      </c>
      <c r="I378" t="str">
        <f t="shared" si="25"/>
        <v>2024-08</v>
      </c>
      <c r="J378" s="5" t="str">
        <f t="shared" si="26"/>
        <v>Standard</v>
      </c>
      <c r="K378" s="5" t="str">
        <f t="shared" si="27"/>
        <v>Low</v>
      </c>
      <c r="L378" s="5" t="str">
        <f t="shared" si="28"/>
        <v>No</v>
      </c>
      <c r="M378" s="5" t="str">
        <f t="shared" si="29"/>
        <v>Attention Needed</v>
      </c>
      <c r="N378" s="3">
        <f>_xlfn.XLOOKUP(B378, Properties!A:A, Properties!D:D, FALSE)</f>
        <v>118184</v>
      </c>
    </row>
    <row r="379" spans="1:14" x14ac:dyDescent="0.3">
      <c r="A379">
        <v>57</v>
      </c>
      <c r="B379">
        <v>288</v>
      </c>
      <c r="C379">
        <v>9</v>
      </c>
      <c r="D379" s="3">
        <v>94084</v>
      </c>
      <c r="E379" t="s">
        <v>256</v>
      </c>
      <c r="F379" s="1" t="s">
        <v>216</v>
      </c>
      <c r="G379" t="str">
        <f>_xlfn.XLOOKUP(B379, Properties!A:A, Properties!B:B, FALSE)</f>
        <v>Novi Sad</v>
      </c>
      <c r="H379" t="str">
        <f>_xlfn.XLOOKUP(C379, Agents!A:A, Agents!B:B, FALSE)</f>
        <v>Ivan Stankovic</v>
      </c>
      <c r="I379" t="str">
        <f t="shared" si="25"/>
        <v>2024-07</v>
      </c>
      <c r="J379" s="5" t="str">
        <f t="shared" si="26"/>
        <v>Standard</v>
      </c>
      <c r="K379" s="5" t="str">
        <f t="shared" si="27"/>
        <v>Low</v>
      </c>
      <c r="L379" s="5" t="str">
        <f t="shared" si="28"/>
        <v>No</v>
      </c>
      <c r="M379" s="5" t="str">
        <f t="shared" si="29"/>
        <v>Attention Needed</v>
      </c>
      <c r="N379" s="3">
        <f>_xlfn.XLOOKUP(B379, Properties!A:A, Properties!D:D, FALSE)</f>
        <v>39704</v>
      </c>
    </row>
    <row r="380" spans="1:14" x14ac:dyDescent="0.3">
      <c r="A380">
        <v>32</v>
      </c>
      <c r="B380">
        <v>204</v>
      </c>
      <c r="C380">
        <v>5</v>
      </c>
      <c r="D380" s="3">
        <v>94046</v>
      </c>
      <c r="E380" t="s">
        <v>259</v>
      </c>
      <c r="F380" s="1" t="s">
        <v>169</v>
      </c>
      <c r="G380" t="str">
        <f>_xlfn.XLOOKUP(B380, Properties!A:A, Properties!B:B, FALSE)</f>
        <v>Becej</v>
      </c>
      <c r="H380" t="str">
        <f>_xlfn.XLOOKUP(C380, Agents!A:A, Agents!B:B, FALSE)</f>
        <v>Mina Lukic</v>
      </c>
      <c r="I380" t="str">
        <f t="shared" si="25"/>
        <v>2025-04</v>
      </c>
      <c r="J380" s="5" t="str">
        <f t="shared" si="26"/>
        <v>Standard</v>
      </c>
      <c r="K380" s="5" t="str">
        <f t="shared" si="27"/>
        <v>Low</v>
      </c>
      <c r="L380" s="5" t="str">
        <f t="shared" si="28"/>
        <v>No</v>
      </c>
      <c r="M380" s="5" t="str">
        <f t="shared" si="29"/>
        <v>Ok</v>
      </c>
      <c r="N380" s="3">
        <f>_xlfn.XLOOKUP(B380, Properties!A:A, Properties!D:D, FALSE)</f>
        <v>77668</v>
      </c>
    </row>
    <row r="381" spans="1:14" x14ac:dyDescent="0.3">
      <c r="A381">
        <v>135</v>
      </c>
      <c r="B381">
        <v>148</v>
      </c>
      <c r="C381">
        <v>4</v>
      </c>
      <c r="D381" s="3">
        <v>93883</v>
      </c>
      <c r="E381" t="s">
        <v>256</v>
      </c>
      <c r="F381" s="1" t="s">
        <v>314</v>
      </c>
      <c r="G381" t="str">
        <f>_xlfn.XLOOKUP(B381, Properties!A:A, Properties!B:B, FALSE)</f>
        <v>Becej</v>
      </c>
      <c r="H381" t="str">
        <f>_xlfn.XLOOKUP(C381, Agents!A:A, Agents!B:B, FALSE)</f>
        <v>Marko Jovic</v>
      </c>
      <c r="I381" t="str">
        <f t="shared" si="25"/>
        <v>2024-01</v>
      </c>
      <c r="J381" s="5" t="str">
        <f t="shared" si="26"/>
        <v>Standard</v>
      </c>
      <c r="K381" s="5" t="str">
        <f t="shared" si="27"/>
        <v>Low</v>
      </c>
      <c r="L381" s="5" t="str">
        <f t="shared" si="28"/>
        <v>No</v>
      </c>
      <c r="M381" s="5" t="str">
        <f t="shared" si="29"/>
        <v>Attention Needed</v>
      </c>
      <c r="N381" s="3">
        <f>_xlfn.XLOOKUP(B381, Properties!A:A, Properties!D:D, FALSE)</f>
        <v>134766</v>
      </c>
    </row>
    <row r="382" spans="1:14" x14ac:dyDescent="0.3">
      <c r="A382">
        <v>77</v>
      </c>
      <c r="B382">
        <v>131</v>
      </c>
      <c r="C382">
        <v>5</v>
      </c>
      <c r="D382" s="3">
        <v>92906</v>
      </c>
      <c r="E382" t="s">
        <v>256</v>
      </c>
      <c r="F382" s="1" t="s">
        <v>287</v>
      </c>
      <c r="G382" t="str">
        <f>_xlfn.XLOOKUP(B382, Properties!A:A, Properties!B:B, FALSE)</f>
        <v>Belgrade</v>
      </c>
      <c r="H382" t="str">
        <f>_xlfn.XLOOKUP(C382, Agents!A:A, Agents!B:B, FALSE)</f>
        <v>Mina Lukic</v>
      </c>
      <c r="I382" t="str">
        <f t="shared" si="25"/>
        <v>2024-01</v>
      </c>
      <c r="J382" s="5" t="str">
        <f t="shared" si="26"/>
        <v>Standard</v>
      </c>
      <c r="K382" s="5" t="str">
        <f t="shared" si="27"/>
        <v>Low</v>
      </c>
      <c r="L382" s="5" t="str">
        <f t="shared" si="28"/>
        <v>No</v>
      </c>
      <c r="M382" s="5" t="str">
        <f t="shared" si="29"/>
        <v>Attention Needed</v>
      </c>
      <c r="N382" s="3">
        <f>_xlfn.XLOOKUP(B382, Properties!A:A, Properties!D:D, FALSE)</f>
        <v>125478</v>
      </c>
    </row>
    <row r="383" spans="1:14" x14ac:dyDescent="0.3">
      <c r="A383">
        <v>479</v>
      </c>
      <c r="B383">
        <v>40</v>
      </c>
      <c r="C383">
        <v>10</v>
      </c>
      <c r="D383" s="3">
        <v>92600</v>
      </c>
      <c r="E383" t="s">
        <v>256</v>
      </c>
      <c r="F383" s="1" t="s">
        <v>382</v>
      </c>
      <c r="G383" t="str">
        <f>_xlfn.XLOOKUP(B383, Properties!A:A, Properties!B:B, FALSE)</f>
        <v>Subotica</v>
      </c>
      <c r="H383" t="str">
        <f>_xlfn.XLOOKUP(C383, Agents!A:A, Agents!B:B, FALSE)</f>
        <v>Marko Jovic</v>
      </c>
      <c r="I383" t="str">
        <f t="shared" si="25"/>
        <v>2024-09</v>
      </c>
      <c r="J383" s="5" t="str">
        <f t="shared" si="26"/>
        <v>Standard</v>
      </c>
      <c r="K383" s="5" t="str">
        <f t="shared" si="27"/>
        <v>Low</v>
      </c>
      <c r="L383" s="5" t="str">
        <f t="shared" si="28"/>
        <v>No</v>
      </c>
      <c r="M383" s="5" t="str">
        <f t="shared" si="29"/>
        <v>Attention Needed</v>
      </c>
      <c r="N383" s="3">
        <f>_xlfn.XLOOKUP(B383, Properties!A:A, Properties!D:D, FALSE)</f>
        <v>163085</v>
      </c>
    </row>
    <row r="384" spans="1:14" x14ac:dyDescent="0.3">
      <c r="A384">
        <v>213</v>
      </c>
      <c r="B384">
        <v>231</v>
      </c>
      <c r="C384">
        <v>9</v>
      </c>
      <c r="D384" s="3">
        <v>92291</v>
      </c>
      <c r="E384" t="s">
        <v>256</v>
      </c>
      <c r="F384" s="1" t="s">
        <v>107</v>
      </c>
      <c r="G384" t="str">
        <f>_xlfn.XLOOKUP(B384, Properties!A:A, Properties!B:B, FALSE)</f>
        <v>Nis</v>
      </c>
      <c r="H384" t="str">
        <f>_xlfn.XLOOKUP(C384, Agents!A:A, Agents!B:B, FALSE)</f>
        <v>Ivan Stankovic</v>
      </c>
      <c r="I384" t="str">
        <f t="shared" si="25"/>
        <v>2024-03</v>
      </c>
      <c r="J384" s="5" t="str">
        <f t="shared" si="26"/>
        <v>Standard</v>
      </c>
      <c r="K384" s="5" t="str">
        <f t="shared" si="27"/>
        <v>Low</v>
      </c>
      <c r="L384" s="5" t="str">
        <f t="shared" si="28"/>
        <v>No</v>
      </c>
      <c r="M384" s="5" t="str">
        <f t="shared" si="29"/>
        <v>Attention Needed</v>
      </c>
      <c r="N384" s="3">
        <f>_xlfn.XLOOKUP(B384, Properties!A:A, Properties!D:D, FALSE)</f>
        <v>69774</v>
      </c>
    </row>
    <row r="385" spans="1:14" x14ac:dyDescent="0.3">
      <c r="A385">
        <v>262</v>
      </c>
      <c r="B385">
        <v>185</v>
      </c>
      <c r="C385">
        <v>4</v>
      </c>
      <c r="D385" s="3">
        <v>91983</v>
      </c>
      <c r="E385" t="s">
        <v>259</v>
      </c>
      <c r="F385" s="1" t="s">
        <v>366</v>
      </c>
      <c r="G385" t="str">
        <f>_xlfn.XLOOKUP(B385, Properties!A:A, Properties!B:B, FALSE)</f>
        <v>Becej</v>
      </c>
      <c r="H385" t="str">
        <f>_xlfn.XLOOKUP(C385, Agents!A:A, Agents!B:B, FALSE)</f>
        <v>Marko Jovic</v>
      </c>
      <c r="I385" t="str">
        <f t="shared" si="25"/>
        <v>2024-08</v>
      </c>
      <c r="J385" s="5" t="str">
        <f t="shared" si="26"/>
        <v>Standard</v>
      </c>
      <c r="K385" s="5" t="str">
        <f t="shared" si="27"/>
        <v>Low</v>
      </c>
      <c r="L385" s="5" t="str">
        <f t="shared" si="28"/>
        <v>No</v>
      </c>
      <c r="M385" s="5" t="str">
        <f t="shared" si="29"/>
        <v>Ok</v>
      </c>
      <c r="N385" s="3">
        <f>_xlfn.XLOOKUP(B385, Properties!A:A, Properties!D:D, FALSE)</f>
        <v>177841</v>
      </c>
    </row>
    <row r="386" spans="1:14" x14ac:dyDescent="0.3">
      <c r="A386">
        <v>271</v>
      </c>
      <c r="B386">
        <v>168</v>
      </c>
      <c r="C386">
        <v>9</v>
      </c>
      <c r="D386" s="3">
        <v>90943</v>
      </c>
      <c r="E386" t="s">
        <v>256</v>
      </c>
      <c r="F386" s="1" t="s">
        <v>332</v>
      </c>
      <c r="G386" t="str">
        <f>_xlfn.XLOOKUP(B386, Properties!A:A, Properties!B:B, FALSE)</f>
        <v>Subotica</v>
      </c>
      <c r="H386" t="str">
        <f>_xlfn.XLOOKUP(C386, Agents!A:A, Agents!B:B, FALSE)</f>
        <v>Ivan Stankovic</v>
      </c>
      <c r="I386" t="str">
        <f t="shared" ref="I386:I449" si="30">TEXT(F386, "YYYY-MM")</f>
        <v>2024-12</v>
      </c>
      <c r="J386" s="5" t="str">
        <f t="shared" ref="J386:J449" si="31">IF(D386&gt;200000, "Luxury", "Standard")</f>
        <v>Standard</v>
      </c>
      <c r="K386" s="5" t="str">
        <f t="shared" ref="K386:K449" si="32">IF(D386&gt;250000, "High", IF(D386&gt;150000, "Medium", "Low"))</f>
        <v>Low</v>
      </c>
      <c r="L386" s="5" t="str">
        <f t="shared" ref="L386:L449" si="33">IF(AND(E386="Sold", D386&gt;200000), "Yes", "No")</f>
        <v>No</v>
      </c>
      <c r="M386" s="5" t="str">
        <f t="shared" ref="M386:M449" si="34">IF(OR(E386="Pending", E386="Cancelled"), "Attention Needed", "Ok")</f>
        <v>Attention Needed</v>
      </c>
      <c r="N386" s="3">
        <f>_xlfn.XLOOKUP(B386, Properties!A:A, Properties!D:D, FALSE)</f>
        <v>227518</v>
      </c>
    </row>
    <row r="387" spans="1:14" x14ac:dyDescent="0.3">
      <c r="A387">
        <v>25</v>
      </c>
      <c r="B387">
        <v>20</v>
      </c>
      <c r="C387">
        <v>5</v>
      </c>
      <c r="D387" s="3">
        <v>90880</v>
      </c>
      <c r="E387" t="s">
        <v>256</v>
      </c>
      <c r="F387" s="1" t="s">
        <v>268</v>
      </c>
      <c r="G387" t="str">
        <f>_xlfn.XLOOKUP(B387, Properties!A:A, Properties!B:B, FALSE)</f>
        <v>Novi Sad</v>
      </c>
      <c r="H387" t="str">
        <f>_xlfn.XLOOKUP(C387, Agents!A:A, Agents!B:B, FALSE)</f>
        <v>Mina Lukic</v>
      </c>
      <c r="I387" t="str">
        <f t="shared" si="30"/>
        <v>2024-02</v>
      </c>
      <c r="J387" s="5" t="str">
        <f t="shared" si="31"/>
        <v>Standard</v>
      </c>
      <c r="K387" s="5" t="str">
        <f t="shared" si="32"/>
        <v>Low</v>
      </c>
      <c r="L387" s="5" t="str">
        <f t="shared" si="33"/>
        <v>No</v>
      </c>
      <c r="M387" s="5" t="str">
        <f t="shared" si="34"/>
        <v>Attention Needed</v>
      </c>
      <c r="N387" s="3">
        <f>_xlfn.XLOOKUP(B387, Properties!A:A, Properties!D:D, FALSE)</f>
        <v>213977</v>
      </c>
    </row>
    <row r="388" spans="1:14" x14ac:dyDescent="0.3">
      <c r="A388">
        <v>474</v>
      </c>
      <c r="B388">
        <v>81</v>
      </c>
      <c r="C388">
        <v>5</v>
      </c>
      <c r="D388" s="3">
        <v>90468</v>
      </c>
      <c r="E388" t="s">
        <v>259</v>
      </c>
      <c r="F388" s="1" t="s">
        <v>27</v>
      </c>
      <c r="G388" t="str">
        <f>_xlfn.XLOOKUP(B388, Properties!A:A, Properties!B:B, FALSE)</f>
        <v>Nis</v>
      </c>
      <c r="H388" t="str">
        <f>_xlfn.XLOOKUP(C388, Agents!A:A, Agents!B:B, FALSE)</f>
        <v>Mina Lukic</v>
      </c>
      <c r="I388" t="str">
        <f t="shared" si="30"/>
        <v>2024-04</v>
      </c>
      <c r="J388" s="5" t="str">
        <f t="shared" si="31"/>
        <v>Standard</v>
      </c>
      <c r="K388" s="5" t="str">
        <f t="shared" si="32"/>
        <v>Low</v>
      </c>
      <c r="L388" s="5" t="str">
        <f t="shared" si="33"/>
        <v>No</v>
      </c>
      <c r="M388" s="5" t="str">
        <f t="shared" si="34"/>
        <v>Ok</v>
      </c>
      <c r="N388" s="3">
        <f>_xlfn.XLOOKUP(B388, Properties!A:A, Properties!D:D, FALSE)</f>
        <v>44910</v>
      </c>
    </row>
    <row r="389" spans="1:14" x14ac:dyDescent="0.3">
      <c r="A389">
        <v>82</v>
      </c>
      <c r="B389">
        <v>208</v>
      </c>
      <c r="C389">
        <v>7</v>
      </c>
      <c r="D389" s="3">
        <v>90384</v>
      </c>
      <c r="E389" t="s">
        <v>256</v>
      </c>
      <c r="F389" s="1" t="s">
        <v>188</v>
      </c>
      <c r="G389" t="str">
        <f>_xlfn.XLOOKUP(B389, Properties!A:A, Properties!B:B, FALSE)</f>
        <v>Novi Sad</v>
      </c>
      <c r="H389" t="str">
        <f>_xlfn.XLOOKUP(C389, Agents!A:A, Agents!B:B, FALSE)</f>
        <v>Ana Markovic</v>
      </c>
      <c r="I389" t="str">
        <f t="shared" si="30"/>
        <v>2024-07</v>
      </c>
      <c r="J389" s="5" t="str">
        <f t="shared" si="31"/>
        <v>Standard</v>
      </c>
      <c r="K389" s="5" t="str">
        <f t="shared" si="32"/>
        <v>Low</v>
      </c>
      <c r="L389" s="5" t="str">
        <f t="shared" si="33"/>
        <v>No</v>
      </c>
      <c r="M389" s="5" t="str">
        <f t="shared" si="34"/>
        <v>Attention Needed</v>
      </c>
      <c r="N389" s="3">
        <f>_xlfn.XLOOKUP(B389, Properties!A:A, Properties!D:D, FALSE)</f>
        <v>93270</v>
      </c>
    </row>
    <row r="390" spans="1:14" x14ac:dyDescent="0.3">
      <c r="A390">
        <v>50</v>
      </c>
      <c r="B390">
        <v>221</v>
      </c>
      <c r="C390">
        <v>2</v>
      </c>
      <c r="D390" s="3">
        <v>89985</v>
      </c>
      <c r="E390" t="s">
        <v>257</v>
      </c>
      <c r="F390" s="1" t="s">
        <v>178</v>
      </c>
      <c r="G390" t="str">
        <f>_xlfn.XLOOKUP(B390, Properties!A:A, Properties!B:B, FALSE)</f>
        <v>Nis</v>
      </c>
      <c r="H390" t="str">
        <f>_xlfn.XLOOKUP(C390, Agents!A:A, Agents!B:B, FALSE)</f>
        <v>Jelena Petrovic</v>
      </c>
      <c r="I390" t="str">
        <f t="shared" si="30"/>
        <v>2025-03</v>
      </c>
      <c r="J390" s="5" t="str">
        <f t="shared" si="31"/>
        <v>Standard</v>
      </c>
      <c r="K390" s="5" t="str">
        <f t="shared" si="32"/>
        <v>Low</v>
      </c>
      <c r="L390" s="5" t="str">
        <f t="shared" si="33"/>
        <v>No</v>
      </c>
      <c r="M390" s="5" t="str">
        <f t="shared" si="34"/>
        <v>Attention Needed</v>
      </c>
      <c r="N390" s="3">
        <f>_xlfn.XLOOKUP(B390, Properties!A:A, Properties!D:D, FALSE)</f>
        <v>56352</v>
      </c>
    </row>
    <row r="391" spans="1:14" x14ac:dyDescent="0.3">
      <c r="A391">
        <v>87</v>
      </c>
      <c r="B391">
        <v>87</v>
      </c>
      <c r="C391">
        <v>2</v>
      </c>
      <c r="D391" s="3">
        <v>89782</v>
      </c>
      <c r="E391" t="s">
        <v>257</v>
      </c>
      <c r="F391" s="1" t="s">
        <v>190</v>
      </c>
      <c r="G391" t="str">
        <f>_xlfn.XLOOKUP(B391, Properties!A:A, Properties!B:B, FALSE)</f>
        <v>Nis</v>
      </c>
      <c r="H391" t="str">
        <f>_xlfn.XLOOKUP(C391, Agents!A:A, Agents!B:B, FALSE)</f>
        <v>Jelena Petrovic</v>
      </c>
      <c r="I391" t="str">
        <f t="shared" si="30"/>
        <v>2024-09</v>
      </c>
      <c r="J391" s="5" t="str">
        <f t="shared" si="31"/>
        <v>Standard</v>
      </c>
      <c r="K391" s="5" t="str">
        <f t="shared" si="32"/>
        <v>Low</v>
      </c>
      <c r="L391" s="5" t="str">
        <f t="shared" si="33"/>
        <v>No</v>
      </c>
      <c r="M391" s="5" t="str">
        <f t="shared" si="34"/>
        <v>Attention Needed</v>
      </c>
      <c r="N391" s="3">
        <f>_xlfn.XLOOKUP(B391, Properties!A:A, Properties!D:D, FALSE)</f>
        <v>98358</v>
      </c>
    </row>
    <row r="392" spans="1:14" x14ac:dyDescent="0.3">
      <c r="A392">
        <v>366</v>
      </c>
      <c r="B392">
        <v>144</v>
      </c>
      <c r="C392">
        <v>7</v>
      </c>
      <c r="D392" s="3">
        <v>89710</v>
      </c>
      <c r="E392" t="s">
        <v>256</v>
      </c>
      <c r="F392" s="1" t="s">
        <v>93</v>
      </c>
      <c r="G392" t="str">
        <f>_xlfn.XLOOKUP(B392, Properties!A:A, Properties!B:B, FALSE)</f>
        <v>Novi Sad</v>
      </c>
      <c r="H392" t="str">
        <f>_xlfn.XLOOKUP(C392, Agents!A:A, Agents!B:B, FALSE)</f>
        <v>Ana Markovic</v>
      </c>
      <c r="I392" t="str">
        <f t="shared" si="30"/>
        <v>2025-04</v>
      </c>
      <c r="J392" s="5" t="str">
        <f t="shared" si="31"/>
        <v>Standard</v>
      </c>
      <c r="K392" s="5" t="str">
        <f t="shared" si="32"/>
        <v>Low</v>
      </c>
      <c r="L392" s="5" t="str">
        <f t="shared" si="33"/>
        <v>No</v>
      </c>
      <c r="M392" s="5" t="str">
        <f t="shared" si="34"/>
        <v>Attention Needed</v>
      </c>
      <c r="N392" s="3">
        <f>_xlfn.XLOOKUP(B392, Properties!A:A, Properties!D:D, FALSE)</f>
        <v>36402</v>
      </c>
    </row>
    <row r="393" spans="1:14" x14ac:dyDescent="0.3">
      <c r="A393">
        <v>168</v>
      </c>
      <c r="B393">
        <v>161</v>
      </c>
      <c r="C393">
        <v>5</v>
      </c>
      <c r="D393" s="3">
        <v>89479</v>
      </c>
      <c r="E393" t="s">
        <v>259</v>
      </c>
      <c r="F393" s="1" t="s">
        <v>327</v>
      </c>
      <c r="G393" t="str">
        <f>_xlfn.XLOOKUP(B393, Properties!A:A, Properties!B:B, FALSE)</f>
        <v>Subotica</v>
      </c>
      <c r="H393" t="str">
        <f>_xlfn.XLOOKUP(C393, Agents!A:A, Agents!B:B, FALSE)</f>
        <v>Mina Lukic</v>
      </c>
      <c r="I393" t="str">
        <f t="shared" si="30"/>
        <v>2024-01</v>
      </c>
      <c r="J393" s="5" t="str">
        <f t="shared" si="31"/>
        <v>Standard</v>
      </c>
      <c r="K393" s="5" t="str">
        <f t="shared" si="32"/>
        <v>Low</v>
      </c>
      <c r="L393" s="5" t="str">
        <f t="shared" si="33"/>
        <v>No</v>
      </c>
      <c r="M393" s="5" t="str">
        <f t="shared" si="34"/>
        <v>Ok</v>
      </c>
      <c r="N393" s="3">
        <f>_xlfn.XLOOKUP(B393, Properties!A:A, Properties!D:D, FALSE)</f>
        <v>66273</v>
      </c>
    </row>
    <row r="394" spans="1:14" x14ac:dyDescent="0.3">
      <c r="A394">
        <v>410</v>
      </c>
      <c r="B394">
        <v>254</v>
      </c>
      <c r="C394">
        <v>9</v>
      </c>
      <c r="D394" s="3">
        <v>89355</v>
      </c>
      <c r="E394" t="s">
        <v>257</v>
      </c>
      <c r="F394" s="1" t="s">
        <v>281</v>
      </c>
      <c r="G394" t="str">
        <f>_xlfn.XLOOKUP(B394, Properties!A:A, Properties!B:B, FALSE)</f>
        <v>Novi Sad</v>
      </c>
      <c r="H394" t="str">
        <f>_xlfn.XLOOKUP(C394, Agents!A:A, Agents!B:B, FALSE)</f>
        <v>Ivan Stankovic</v>
      </c>
      <c r="I394" t="str">
        <f t="shared" si="30"/>
        <v>2024-10</v>
      </c>
      <c r="J394" s="5" t="str">
        <f t="shared" si="31"/>
        <v>Standard</v>
      </c>
      <c r="K394" s="5" t="str">
        <f t="shared" si="32"/>
        <v>Low</v>
      </c>
      <c r="L394" s="5" t="str">
        <f t="shared" si="33"/>
        <v>No</v>
      </c>
      <c r="M394" s="5" t="str">
        <f t="shared" si="34"/>
        <v>Attention Needed</v>
      </c>
      <c r="N394" s="3">
        <f>_xlfn.XLOOKUP(B394, Properties!A:A, Properties!D:D, FALSE)</f>
        <v>230477</v>
      </c>
    </row>
    <row r="395" spans="1:14" x14ac:dyDescent="0.3">
      <c r="A395">
        <v>286</v>
      </c>
      <c r="B395">
        <v>80</v>
      </c>
      <c r="C395">
        <v>5</v>
      </c>
      <c r="D395" s="3">
        <v>89163</v>
      </c>
      <c r="E395" t="s">
        <v>259</v>
      </c>
      <c r="F395" s="1" t="s">
        <v>34</v>
      </c>
      <c r="G395" t="str">
        <f>_xlfn.XLOOKUP(B395, Properties!A:A, Properties!B:B, FALSE)</f>
        <v>Belgrade</v>
      </c>
      <c r="H395" t="str">
        <f>_xlfn.XLOOKUP(C395, Agents!A:A, Agents!B:B, FALSE)</f>
        <v>Mina Lukic</v>
      </c>
      <c r="I395" t="str">
        <f t="shared" si="30"/>
        <v>2024-01</v>
      </c>
      <c r="J395" s="5" t="str">
        <f t="shared" si="31"/>
        <v>Standard</v>
      </c>
      <c r="K395" s="5" t="str">
        <f t="shared" si="32"/>
        <v>Low</v>
      </c>
      <c r="L395" s="5" t="str">
        <f t="shared" si="33"/>
        <v>No</v>
      </c>
      <c r="M395" s="5" t="str">
        <f t="shared" si="34"/>
        <v>Ok</v>
      </c>
      <c r="N395" s="3">
        <f>_xlfn.XLOOKUP(B395, Properties!A:A, Properties!D:D, FALSE)</f>
        <v>183138</v>
      </c>
    </row>
    <row r="396" spans="1:14" x14ac:dyDescent="0.3">
      <c r="A396">
        <v>454</v>
      </c>
      <c r="B396">
        <v>123</v>
      </c>
      <c r="C396">
        <v>8</v>
      </c>
      <c r="D396" s="3">
        <v>89110</v>
      </c>
      <c r="E396" t="s">
        <v>256</v>
      </c>
      <c r="F396" s="1" t="s">
        <v>315</v>
      </c>
      <c r="G396" t="str">
        <f>_xlfn.XLOOKUP(B396, Properties!A:A, Properties!B:B, FALSE)</f>
        <v>Nis</v>
      </c>
      <c r="H396" t="str">
        <f>_xlfn.XLOOKUP(C396, Agents!A:A, Agents!B:B, FALSE)</f>
        <v>Mina Lukic</v>
      </c>
      <c r="I396" t="str">
        <f t="shared" si="30"/>
        <v>2024-05</v>
      </c>
      <c r="J396" s="5" t="str">
        <f t="shared" si="31"/>
        <v>Standard</v>
      </c>
      <c r="K396" s="5" t="str">
        <f t="shared" si="32"/>
        <v>Low</v>
      </c>
      <c r="L396" s="5" t="str">
        <f t="shared" si="33"/>
        <v>No</v>
      </c>
      <c r="M396" s="5" t="str">
        <f t="shared" si="34"/>
        <v>Attention Needed</v>
      </c>
      <c r="N396" s="3">
        <f>_xlfn.XLOOKUP(B396, Properties!A:A, Properties!D:D, FALSE)</f>
        <v>208131</v>
      </c>
    </row>
    <row r="397" spans="1:14" x14ac:dyDescent="0.3">
      <c r="A397">
        <v>269</v>
      </c>
      <c r="B397">
        <v>186</v>
      </c>
      <c r="C397">
        <v>2</v>
      </c>
      <c r="D397" s="3">
        <v>88829</v>
      </c>
      <c r="E397" t="s">
        <v>257</v>
      </c>
      <c r="F397" s="1" t="s">
        <v>152</v>
      </c>
      <c r="G397" t="str">
        <f>_xlfn.XLOOKUP(B397, Properties!A:A, Properties!B:B, FALSE)</f>
        <v>Novi Sad</v>
      </c>
      <c r="H397" t="str">
        <f>_xlfn.XLOOKUP(C397, Agents!A:A, Agents!B:B, FALSE)</f>
        <v>Jelena Petrovic</v>
      </c>
      <c r="I397" t="str">
        <f t="shared" si="30"/>
        <v>2024-02</v>
      </c>
      <c r="J397" s="5" t="str">
        <f t="shared" si="31"/>
        <v>Standard</v>
      </c>
      <c r="K397" s="5" t="str">
        <f t="shared" si="32"/>
        <v>Low</v>
      </c>
      <c r="L397" s="5" t="str">
        <f t="shared" si="33"/>
        <v>No</v>
      </c>
      <c r="M397" s="5" t="str">
        <f t="shared" si="34"/>
        <v>Attention Needed</v>
      </c>
      <c r="N397" s="3">
        <f>_xlfn.XLOOKUP(B397, Properties!A:A, Properties!D:D, FALSE)</f>
        <v>213360</v>
      </c>
    </row>
    <row r="398" spans="1:14" x14ac:dyDescent="0.3">
      <c r="A398">
        <v>226</v>
      </c>
      <c r="B398">
        <v>125</v>
      </c>
      <c r="C398">
        <v>1</v>
      </c>
      <c r="D398" s="3">
        <v>87616</v>
      </c>
      <c r="E398" t="s">
        <v>257</v>
      </c>
      <c r="F398" s="1" t="s">
        <v>79</v>
      </c>
      <c r="G398" t="str">
        <f>_xlfn.XLOOKUP(B398, Properties!A:A, Properties!B:B, FALSE)</f>
        <v>Subotica</v>
      </c>
      <c r="H398" t="str">
        <f>_xlfn.XLOOKUP(C398, Agents!A:A, Agents!B:B, FALSE)</f>
        <v>Ana Markovic</v>
      </c>
      <c r="I398" t="str">
        <f t="shared" si="30"/>
        <v>2024-04</v>
      </c>
      <c r="J398" s="5" t="str">
        <f t="shared" si="31"/>
        <v>Standard</v>
      </c>
      <c r="K398" s="5" t="str">
        <f t="shared" si="32"/>
        <v>Low</v>
      </c>
      <c r="L398" s="5" t="str">
        <f t="shared" si="33"/>
        <v>No</v>
      </c>
      <c r="M398" s="5" t="str">
        <f t="shared" si="34"/>
        <v>Attention Needed</v>
      </c>
      <c r="N398" s="3">
        <f>_xlfn.XLOOKUP(B398, Properties!A:A, Properties!D:D, FALSE)</f>
        <v>182198</v>
      </c>
    </row>
    <row r="399" spans="1:14" x14ac:dyDescent="0.3">
      <c r="A399">
        <v>385</v>
      </c>
      <c r="B399">
        <v>59</v>
      </c>
      <c r="C399">
        <v>1</v>
      </c>
      <c r="D399" s="3">
        <v>87337</v>
      </c>
      <c r="E399" t="s">
        <v>256</v>
      </c>
      <c r="F399" s="1" t="s">
        <v>306</v>
      </c>
      <c r="G399" t="str">
        <f>_xlfn.XLOOKUP(B399, Properties!A:A, Properties!B:B, FALSE)</f>
        <v>Novi Sad</v>
      </c>
      <c r="H399" t="str">
        <f>_xlfn.XLOOKUP(C399, Agents!A:A, Agents!B:B, FALSE)</f>
        <v>Ana Markovic</v>
      </c>
      <c r="I399" t="str">
        <f t="shared" si="30"/>
        <v>2024-12</v>
      </c>
      <c r="J399" s="5" t="str">
        <f t="shared" si="31"/>
        <v>Standard</v>
      </c>
      <c r="K399" s="5" t="str">
        <f t="shared" si="32"/>
        <v>Low</v>
      </c>
      <c r="L399" s="5" t="str">
        <f t="shared" si="33"/>
        <v>No</v>
      </c>
      <c r="M399" s="5" t="str">
        <f t="shared" si="34"/>
        <v>Attention Needed</v>
      </c>
      <c r="N399" s="3">
        <f>_xlfn.XLOOKUP(B399, Properties!A:A, Properties!D:D, FALSE)</f>
        <v>205368</v>
      </c>
    </row>
    <row r="400" spans="1:14" x14ac:dyDescent="0.3">
      <c r="A400">
        <v>42</v>
      </c>
      <c r="B400">
        <v>230</v>
      </c>
      <c r="C400">
        <v>6</v>
      </c>
      <c r="D400" s="3">
        <v>87175</v>
      </c>
      <c r="E400" t="s">
        <v>257</v>
      </c>
      <c r="F400" s="1" t="s">
        <v>273</v>
      </c>
      <c r="G400" t="str">
        <f>_xlfn.XLOOKUP(B400, Properties!A:A, Properties!B:B, FALSE)</f>
        <v>Belgrade</v>
      </c>
      <c r="H400" t="str">
        <f>_xlfn.XLOOKUP(C400, Agents!A:A, Agents!B:B, FALSE)</f>
        <v>Marko Jovic</v>
      </c>
      <c r="I400" t="str">
        <f t="shared" si="30"/>
        <v>2024-08</v>
      </c>
      <c r="J400" s="5" t="str">
        <f t="shared" si="31"/>
        <v>Standard</v>
      </c>
      <c r="K400" s="5" t="str">
        <f t="shared" si="32"/>
        <v>Low</v>
      </c>
      <c r="L400" s="5" t="str">
        <f t="shared" si="33"/>
        <v>No</v>
      </c>
      <c r="M400" s="5" t="str">
        <f t="shared" si="34"/>
        <v>Attention Needed</v>
      </c>
      <c r="N400" s="3">
        <f>_xlfn.XLOOKUP(B400, Properties!A:A, Properties!D:D, FALSE)</f>
        <v>158908</v>
      </c>
    </row>
    <row r="401" spans="1:14" x14ac:dyDescent="0.3">
      <c r="A401">
        <v>496</v>
      </c>
      <c r="B401">
        <v>39</v>
      </c>
      <c r="C401">
        <v>4</v>
      </c>
      <c r="D401" s="3">
        <v>87133</v>
      </c>
      <c r="E401" t="s">
        <v>259</v>
      </c>
      <c r="F401" s="1" t="s">
        <v>422</v>
      </c>
      <c r="G401" t="str">
        <f>_xlfn.XLOOKUP(B401, Properties!A:A, Properties!B:B, FALSE)</f>
        <v>Novi Sad</v>
      </c>
      <c r="H401" t="str">
        <f>_xlfn.XLOOKUP(C401, Agents!A:A, Agents!B:B, FALSE)</f>
        <v>Marko Jovic</v>
      </c>
      <c r="I401" t="str">
        <f t="shared" si="30"/>
        <v>2024-03</v>
      </c>
      <c r="J401" s="5" t="str">
        <f t="shared" si="31"/>
        <v>Standard</v>
      </c>
      <c r="K401" s="5" t="str">
        <f t="shared" si="32"/>
        <v>Low</v>
      </c>
      <c r="L401" s="5" t="str">
        <f t="shared" si="33"/>
        <v>No</v>
      </c>
      <c r="M401" s="5" t="str">
        <f t="shared" si="34"/>
        <v>Ok</v>
      </c>
      <c r="N401" s="3">
        <f>_xlfn.XLOOKUP(B401, Properties!A:A, Properties!D:D, FALSE)</f>
        <v>30850</v>
      </c>
    </row>
    <row r="402" spans="1:14" x14ac:dyDescent="0.3">
      <c r="A402">
        <v>45</v>
      </c>
      <c r="B402">
        <v>246</v>
      </c>
      <c r="C402">
        <v>7</v>
      </c>
      <c r="D402" s="3">
        <v>86603</v>
      </c>
      <c r="E402" t="s">
        <v>256</v>
      </c>
      <c r="F402" s="1" t="s">
        <v>274</v>
      </c>
      <c r="G402" t="str">
        <f>_xlfn.XLOOKUP(B402, Properties!A:A, Properties!B:B, FALSE)</f>
        <v>Nis</v>
      </c>
      <c r="H402" t="str">
        <f>_xlfn.XLOOKUP(C402, Agents!A:A, Agents!B:B, FALSE)</f>
        <v>Ana Markovic</v>
      </c>
      <c r="I402" t="str">
        <f t="shared" si="30"/>
        <v>2024-09</v>
      </c>
      <c r="J402" s="5" t="str">
        <f t="shared" si="31"/>
        <v>Standard</v>
      </c>
      <c r="K402" s="5" t="str">
        <f t="shared" si="32"/>
        <v>Low</v>
      </c>
      <c r="L402" s="5" t="str">
        <f t="shared" si="33"/>
        <v>No</v>
      </c>
      <c r="M402" s="5" t="str">
        <f t="shared" si="34"/>
        <v>Attention Needed</v>
      </c>
      <c r="N402" s="3">
        <f>_xlfn.XLOOKUP(B402, Properties!A:A, Properties!D:D, FALSE)</f>
        <v>199773</v>
      </c>
    </row>
    <row r="403" spans="1:14" x14ac:dyDescent="0.3">
      <c r="A403">
        <v>251</v>
      </c>
      <c r="B403">
        <v>20</v>
      </c>
      <c r="C403">
        <v>1</v>
      </c>
      <c r="D403" s="3">
        <v>86256</v>
      </c>
      <c r="E403" t="s">
        <v>256</v>
      </c>
      <c r="F403" s="1" t="s">
        <v>54</v>
      </c>
      <c r="G403" t="str">
        <f>_xlfn.XLOOKUP(B403, Properties!A:A, Properties!B:B, FALSE)</f>
        <v>Novi Sad</v>
      </c>
      <c r="H403" t="str">
        <f>_xlfn.XLOOKUP(C403, Agents!A:A, Agents!B:B, FALSE)</f>
        <v>Ana Markovic</v>
      </c>
      <c r="I403" t="str">
        <f t="shared" si="30"/>
        <v>2025-04</v>
      </c>
      <c r="J403" s="5" t="str">
        <f t="shared" si="31"/>
        <v>Standard</v>
      </c>
      <c r="K403" s="5" t="str">
        <f t="shared" si="32"/>
        <v>Low</v>
      </c>
      <c r="L403" s="5" t="str">
        <f t="shared" si="33"/>
        <v>No</v>
      </c>
      <c r="M403" s="5" t="str">
        <f t="shared" si="34"/>
        <v>Attention Needed</v>
      </c>
      <c r="N403" s="3">
        <f>_xlfn.XLOOKUP(B403, Properties!A:A, Properties!D:D, FALSE)</f>
        <v>213977</v>
      </c>
    </row>
    <row r="404" spans="1:14" x14ac:dyDescent="0.3">
      <c r="A404">
        <v>347</v>
      </c>
      <c r="B404">
        <v>200</v>
      </c>
      <c r="C404">
        <v>6</v>
      </c>
      <c r="D404" s="3">
        <v>85863</v>
      </c>
      <c r="E404" t="s">
        <v>256</v>
      </c>
      <c r="F404" s="1" t="s">
        <v>211</v>
      </c>
      <c r="G404" t="str">
        <f>_xlfn.XLOOKUP(B404, Properties!A:A, Properties!B:B, FALSE)</f>
        <v>Nis</v>
      </c>
      <c r="H404" t="str">
        <f>_xlfn.XLOOKUP(C404, Agents!A:A, Agents!B:B, FALSE)</f>
        <v>Marko Jovic</v>
      </c>
      <c r="I404" t="str">
        <f t="shared" si="30"/>
        <v>2024-02</v>
      </c>
      <c r="J404" s="5" t="str">
        <f t="shared" si="31"/>
        <v>Standard</v>
      </c>
      <c r="K404" s="5" t="str">
        <f t="shared" si="32"/>
        <v>Low</v>
      </c>
      <c r="L404" s="5" t="str">
        <f t="shared" si="33"/>
        <v>No</v>
      </c>
      <c r="M404" s="5" t="str">
        <f t="shared" si="34"/>
        <v>Attention Needed</v>
      </c>
      <c r="N404" s="3">
        <f>_xlfn.XLOOKUP(B404, Properties!A:A, Properties!D:D, FALSE)</f>
        <v>114490</v>
      </c>
    </row>
    <row r="405" spans="1:14" x14ac:dyDescent="0.3">
      <c r="A405">
        <v>199</v>
      </c>
      <c r="B405">
        <v>190</v>
      </c>
      <c r="C405">
        <v>9</v>
      </c>
      <c r="D405" s="3">
        <v>85670</v>
      </c>
      <c r="E405" t="s">
        <v>257</v>
      </c>
      <c r="F405" s="1" t="s">
        <v>341</v>
      </c>
      <c r="G405" t="str">
        <f>_xlfn.XLOOKUP(B405, Properties!A:A, Properties!B:B, FALSE)</f>
        <v>Becej</v>
      </c>
      <c r="H405" t="str">
        <f>_xlfn.XLOOKUP(C405, Agents!A:A, Agents!B:B, FALSE)</f>
        <v>Ivan Stankovic</v>
      </c>
      <c r="I405" t="str">
        <f t="shared" si="30"/>
        <v>2024-06</v>
      </c>
      <c r="J405" s="5" t="str">
        <f t="shared" si="31"/>
        <v>Standard</v>
      </c>
      <c r="K405" s="5" t="str">
        <f t="shared" si="32"/>
        <v>Low</v>
      </c>
      <c r="L405" s="5" t="str">
        <f t="shared" si="33"/>
        <v>No</v>
      </c>
      <c r="M405" s="5" t="str">
        <f t="shared" si="34"/>
        <v>Attention Needed</v>
      </c>
      <c r="N405" s="3">
        <f>_xlfn.XLOOKUP(B405, Properties!A:A, Properties!D:D, FALSE)</f>
        <v>217436</v>
      </c>
    </row>
    <row r="406" spans="1:14" x14ac:dyDescent="0.3">
      <c r="A406">
        <v>376</v>
      </c>
      <c r="B406">
        <v>205</v>
      </c>
      <c r="C406">
        <v>6</v>
      </c>
      <c r="D406" s="3">
        <v>85545</v>
      </c>
      <c r="E406" t="s">
        <v>256</v>
      </c>
      <c r="F406" s="1" t="s">
        <v>395</v>
      </c>
      <c r="G406" t="str">
        <f>_xlfn.XLOOKUP(B406, Properties!A:A, Properties!B:B, FALSE)</f>
        <v>Novi Sad</v>
      </c>
      <c r="H406" t="str">
        <f>_xlfn.XLOOKUP(C406, Agents!A:A, Agents!B:B, FALSE)</f>
        <v>Marko Jovic</v>
      </c>
      <c r="I406" t="str">
        <f t="shared" si="30"/>
        <v>2024-01</v>
      </c>
      <c r="J406" s="5" t="str">
        <f t="shared" si="31"/>
        <v>Standard</v>
      </c>
      <c r="K406" s="5" t="str">
        <f t="shared" si="32"/>
        <v>Low</v>
      </c>
      <c r="L406" s="5" t="str">
        <f t="shared" si="33"/>
        <v>No</v>
      </c>
      <c r="M406" s="5" t="str">
        <f t="shared" si="34"/>
        <v>Attention Needed</v>
      </c>
      <c r="N406" s="3">
        <f>_xlfn.XLOOKUP(B406, Properties!A:A, Properties!D:D, FALSE)</f>
        <v>239146</v>
      </c>
    </row>
    <row r="407" spans="1:14" x14ac:dyDescent="0.3">
      <c r="A407">
        <v>84</v>
      </c>
      <c r="B407">
        <v>186</v>
      </c>
      <c r="C407">
        <v>2</v>
      </c>
      <c r="D407" s="3">
        <v>85502</v>
      </c>
      <c r="E407" t="s">
        <v>256</v>
      </c>
      <c r="F407" s="1" t="s">
        <v>137</v>
      </c>
      <c r="G407" t="str">
        <f>_xlfn.XLOOKUP(B407, Properties!A:A, Properties!B:B, FALSE)</f>
        <v>Novi Sad</v>
      </c>
      <c r="H407" t="str">
        <f>_xlfn.XLOOKUP(C407, Agents!A:A, Agents!B:B, FALSE)</f>
        <v>Jelena Petrovic</v>
      </c>
      <c r="I407" t="str">
        <f t="shared" si="30"/>
        <v>2024-05</v>
      </c>
      <c r="J407" s="5" t="str">
        <f t="shared" si="31"/>
        <v>Standard</v>
      </c>
      <c r="K407" s="5" t="str">
        <f t="shared" si="32"/>
        <v>Low</v>
      </c>
      <c r="L407" s="5" t="str">
        <f t="shared" si="33"/>
        <v>No</v>
      </c>
      <c r="M407" s="5" t="str">
        <f t="shared" si="34"/>
        <v>Attention Needed</v>
      </c>
      <c r="N407" s="3">
        <f>_xlfn.XLOOKUP(B407, Properties!A:A, Properties!D:D, FALSE)</f>
        <v>213360</v>
      </c>
    </row>
    <row r="408" spans="1:14" x14ac:dyDescent="0.3">
      <c r="A408">
        <v>380</v>
      </c>
      <c r="B408">
        <v>177</v>
      </c>
      <c r="C408">
        <v>1</v>
      </c>
      <c r="D408" s="3">
        <v>84813</v>
      </c>
      <c r="E408" t="s">
        <v>256</v>
      </c>
      <c r="F408" s="1" t="s">
        <v>377</v>
      </c>
      <c r="G408" t="str">
        <f>_xlfn.XLOOKUP(B408, Properties!A:A, Properties!B:B, FALSE)</f>
        <v>Novi Sad</v>
      </c>
      <c r="H408" t="str">
        <f>_xlfn.XLOOKUP(C408, Agents!A:A, Agents!B:B, FALSE)</f>
        <v>Ana Markovic</v>
      </c>
      <c r="I408" t="str">
        <f t="shared" si="30"/>
        <v>2024-05</v>
      </c>
      <c r="J408" s="5" t="str">
        <f t="shared" si="31"/>
        <v>Standard</v>
      </c>
      <c r="K408" s="5" t="str">
        <f t="shared" si="32"/>
        <v>Low</v>
      </c>
      <c r="L408" s="5" t="str">
        <f t="shared" si="33"/>
        <v>No</v>
      </c>
      <c r="M408" s="5" t="str">
        <f t="shared" si="34"/>
        <v>Attention Needed</v>
      </c>
      <c r="N408" s="3">
        <f>_xlfn.XLOOKUP(B408, Properties!A:A, Properties!D:D, FALSE)</f>
        <v>115680</v>
      </c>
    </row>
    <row r="409" spans="1:14" x14ac:dyDescent="0.3">
      <c r="A409">
        <v>100</v>
      </c>
      <c r="B409">
        <v>78</v>
      </c>
      <c r="C409">
        <v>1</v>
      </c>
      <c r="D409" s="3">
        <v>84264</v>
      </c>
      <c r="E409" t="s">
        <v>256</v>
      </c>
      <c r="F409" s="1" t="s">
        <v>297</v>
      </c>
      <c r="G409" t="str">
        <f>_xlfn.XLOOKUP(B409, Properties!A:A, Properties!B:B, FALSE)</f>
        <v>Subotica</v>
      </c>
      <c r="H409" t="str">
        <f>_xlfn.XLOOKUP(C409, Agents!A:A, Agents!B:B, FALSE)</f>
        <v>Ana Markovic</v>
      </c>
      <c r="I409" t="str">
        <f t="shared" si="30"/>
        <v>2025-02</v>
      </c>
      <c r="J409" s="5" t="str">
        <f t="shared" si="31"/>
        <v>Standard</v>
      </c>
      <c r="K409" s="5" t="str">
        <f t="shared" si="32"/>
        <v>Low</v>
      </c>
      <c r="L409" s="5" t="str">
        <f t="shared" si="33"/>
        <v>No</v>
      </c>
      <c r="M409" s="5" t="str">
        <f t="shared" si="34"/>
        <v>Attention Needed</v>
      </c>
      <c r="N409" s="3">
        <f>_xlfn.XLOOKUP(B409, Properties!A:A, Properties!D:D, FALSE)</f>
        <v>45331</v>
      </c>
    </row>
    <row r="410" spans="1:14" x14ac:dyDescent="0.3">
      <c r="A410">
        <v>391</v>
      </c>
      <c r="B410">
        <v>143</v>
      </c>
      <c r="C410">
        <v>2</v>
      </c>
      <c r="D410" s="3">
        <v>83347</v>
      </c>
      <c r="E410" t="s">
        <v>257</v>
      </c>
      <c r="F410" s="1" t="s">
        <v>400</v>
      </c>
      <c r="G410" t="str">
        <f>_xlfn.XLOOKUP(B410, Properties!A:A, Properties!B:B, FALSE)</f>
        <v>Novi Sad</v>
      </c>
      <c r="H410" t="str">
        <f>_xlfn.XLOOKUP(C410, Agents!A:A, Agents!B:B, FALSE)</f>
        <v>Jelena Petrovic</v>
      </c>
      <c r="I410" t="str">
        <f t="shared" si="30"/>
        <v>2025-02</v>
      </c>
      <c r="J410" s="5" t="str">
        <f t="shared" si="31"/>
        <v>Standard</v>
      </c>
      <c r="K410" s="5" t="str">
        <f t="shared" si="32"/>
        <v>Low</v>
      </c>
      <c r="L410" s="5" t="str">
        <f t="shared" si="33"/>
        <v>No</v>
      </c>
      <c r="M410" s="5" t="str">
        <f t="shared" si="34"/>
        <v>Attention Needed</v>
      </c>
      <c r="N410" s="3">
        <f>_xlfn.XLOOKUP(B410, Properties!A:A, Properties!D:D, FALSE)</f>
        <v>88888</v>
      </c>
    </row>
    <row r="411" spans="1:14" x14ac:dyDescent="0.3">
      <c r="A411">
        <v>383</v>
      </c>
      <c r="B411">
        <v>248</v>
      </c>
      <c r="C411">
        <v>6</v>
      </c>
      <c r="D411" s="3">
        <v>81182</v>
      </c>
      <c r="E411" t="s">
        <v>256</v>
      </c>
      <c r="F411" s="1" t="s">
        <v>398</v>
      </c>
      <c r="G411" t="str">
        <f>_xlfn.XLOOKUP(B411, Properties!A:A, Properties!B:B, FALSE)</f>
        <v>Novi Sad</v>
      </c>
      <c r="H411" t="str">
        <f>_xlfn.XLOOKUP(C411, Agents!A:A, Agents!B:B, FALSE)</f>
        <v>Marko Jovic</v>
      </c>
      <c r="I411" t="str">
        <f t="shared" si="30"/>
        <v>2024-08</v>
      </c>
      <c r="J411" s="5" t="str">
        <f t="shared" si="31"/>
        <v>Standard</v>
      </c>
      <c r="K411" s="5" t="str">
        <f t="shared" si="32"/>
        <v>Low</v>
      </c>
      <c r="L411" s="5" t="str">
        <f t="shared" si="33"/>
        <v>No</v>
      </c>
      <c r="M411" s="5" t="str">
        <f t="shared" si="34"/>
        <v>Attention Needed</v>
      </c>
      <c r="N411" s="3">
        <f>_xlfn.XLOOKUP(B411, Properties!A:A, Properties!D:D, FALSE)</f>
        <v>185987</v>
      </c>
    </row>
    <row r="412" spans="1:14" x14ac:dyDescent="0.3">
      <c r="A412">
        <v>326</v>
      </c>
      <c r="B412">
        <v>221</v>
      </c>
      <c r="C412">
        <v>3</v>
      </c>
      <c r="D412" s="3">
        <v>80496</v>
      </c>
      <c r="E412" t="s">
        <v>259</v>
      </c>
      <c r="F412" s="1" t="s">
        <v>316</v>
      </c>
      <c r="G412" t="str">
        <f>_xlfn.XLOOKUP(B412, Properties!A:A, Properties!B:B, FALSE)</f>
        <v>Nis</v>
      </c>
      <c r="H412" t="str">
        <f>_xlfn.XLOOKUP(C412, Agents!A:A, Agents!B:B, FALSE)</f>
        <v>Ivan Stankovic</v>
      </c>
      <c r="I412" t="str">
        <f t="shared" si="30"/>
        <v>2024-09</v>
      </c>
      <c r="J412" s="5" t="str">
        <f t="shared" si="31"/>
        <v>Standard</v>
      </c>
      <c r="K412" s="5" t="str">
        <f t="shared" si="32"/>
        <v>Low</v>
      </c>
      <c r="L412" s="5" t="str">
        <f t="shared" si="33"/>
        <v>No</v>
      </c>
      <c r="M412" s="5" t="str">
        <f t="shared" si="34"/>
        <v>Ok</v>
      </c>
      <c r="N412" s="3">
        <f>_xlfn.XLOOKUP(B412, Properties!A:A, Properties!D:D, FALSE)</f>
        <v>56352</v>
      </c>
    </row>
    <row r="413" spans="1:14" x14ac:dyDescent="0.3">
      <c r="A413">
        <v>435</v>
      </c>
      <c r="B413">
        <v>155</v>
      </c>
      <c r="C413">
        <v>3</v>
      </c>
      <c r="D413" s="3">
        <v>78937</v>
      </c>
      <c r="E413" t="s">
        <v>256</v>
      </c>
      <c r="F413" s="1" t="s">
        <v>36</v>
      </c>
      <c r="G413" t="str">
        <f>_xlfn.XLOOKUP(B413, Properties!A:A, Properties!B:B, FALSE)</f>
        <v>Nis</v>
      </c>
      <c r="H413" t="str">
        <f>_xlfn.XLOOKUP(C413, Agents!A:A, Agents!B:B, FALSE)</f>
        <v>Ivan Stankovic</v>
      </c>
      <c r="I413" t="str">
        <f t="shared" si="30"/>
        <v>2024-12</v>
      </c>
      <c r="J413" s="5" t="str">
        <f t="shared" si="31"/>
        <v>Standard</v>
      </c>
      <c r="K413" s="5" t="str">
        <f t="shared" si="32"/>
        <v>Low</v>
      </c>
      <c r="L413" s="5" t="str">
        <f t="shared" si="33"/>
        <v>No</v>
      </c>
      <c r="M413" s="5" t="str">
        <f t="shared" si="34"/>
        <v>Attention Needed</v>
      </c>
      <c r="N413" s="3">
        <f>_xlfn.XLOOKUP(B413, Properties!A:A, Properties!D:D, FALSE)</f>
        <v>71722</v>
      </c>
    </row>
    <row r="414" spans="1:14" x14ac:dyDescent="0.3">
      <c r="A414">
        <v>303</v>
      </c>
      <c r="B414">
        <v>41</v>
      </c>
      <c r="C414">
        <v>8</v>
      </c>
      <c r="D414" s="3">
        <v>78477</v>
      </c>
      <c r="E414" t="s">
        <v>256</v>
      </c>
      <c r="F414" s="1" t="s">
        <v>375</v>
      </c>
      <c r="G414" t="str">
        <f>_xlfn.XLOOKUP(B414, Properties!A:A, Properties!B:B, FALSE)</f>
        <v>Belgrade</v>
      </c>
      <c r="H414" t="str">
        <f>_xlfn.XLOOKUP(C414, Agents!A:A, Agents!B:B, FALSE)</f>
        <v>Mina Lukic</v>
      </c>
      <c r="I414" t="str">
        <f t="shared" si="30"/>
        <v>2024-10</v>
      </c>
      <c r="J414" s="5" t="str">
        <f t="shared" si="31"/>
        <v>Standard</v>
      </c>
      <c r="K414" s="5" t="str">
        <f t="shared" si="32"/>
        <v>Low</v>
      </c>
      <c r="L414" s="5" t="str">
        <f t="shared" si="33"/>
        <v>No</v>
      </c>
      <c r="M414" s="5" t="str">
        <f t="shared" si="34"/>
        <v>Attention Needed</v>
      </c>
      <c r="N414" s="3">
        <f>_xlfn.XLOOKUP(B414, Properties!A:A, Properties!D:D, FALSE)</f>
        <v>197496</v>
      </c>
    </row>
    <row r="415" spans="1:14" x14ac:dyDescent="0.3">
      <c r="A415">
        <v>126</v>
      </c>
      <c r="B415">
        <v>263</v>
      </c>
      <c r="C415">
        <v>3</v>
      </c>
      <c r="D415" s="3">
        <v>78084</v>
      </c>
      <c r="E415" t="s">
        <v>256</v>
      </c>
      <c r="F415" s="1" t="s">
        <v>309</v>
      </c>
      <c r="G415" t="str">
        <f>_xlfn.XLOOKUP(B415, Properties!A:A, Properties!B:B, FALSE)</f>
        <v>Subotica</v>
      </c>
      <c r="H415" t="str">
        <f>_xlfn.XLOOKUP(C415, Agents!A:A, Agents!B:B, FALSE)</f>
        <v>Ivan Stankovic</v>
      </c>
      <c r="I415" t="str">
        <f t="shared" si="30"/>
        <v>2025-04</v>
      </c>
      <c r="J415" s="5" t="str">
        <f t="shared" si="31"/>
        <v>Standard</v>
      </c>
      <c r="K415" s="5" t="str">
        <f t="shared" si="32"/>
        <v>Low</v>
      </c>
      <c r="L415" s="5" t="str">
        <f t="shared" si="33"/>
        <v>No</v>
      </c>
      <c r="M415" s="5" t="str">
        <f t="shared" si="34"/>
        <v>Attention Needed</v>
      </c>
      <c r="N415" s="3">
        <f>_xlfn.XLOOKUP(B415, Properties!A:A, Properties!D:D, FALSE)</f>
        <v>114744</v>
      </c>
    </row>
    <row r="416" spans="1:14" x14ac:dyDescent="0.3">
      <c r="A416">
        <v>438</v>
      </c>
      <c r="B416">
        <v>120</v>
      </c>
      <c r="C416">
        <v>7</v>
      </c>
      <c r="D416" s="3">
        <v>77814</v>
      </c>
      <c r="E416" t="s">
        <v>257</v>
      </c>
      <c r="F416" s="1" t="s">
        <v>328</v>
      </c>
      <c r="G416" t="str">
        <f>_xlfn.XLOOKUP(B416, Properties!A:A, Properties!B:B, FALSE)</f>
        <v>Novi Sad</v>
      </c>
      <c r="H416" t="str">
        <f>_xlfn.XLOOKUP(C416, Agents!A:A, Agents!B:B, FALSE)</f>
        <v>Ana Markovic</v>
      </c>
      <c r="I416" t="str">
        <f t="shared" si="30"/>
        <v>2024-12</v>
      </c>
      <c r="J416" s="5" t="str">
        <f t="shared" si="31"/>
        <v>Standard</v>
      </c>
      <c r="K416" s="5" t="str">
        <f t="shared" si="32"/>
        <v>Low</v>
      </c>
      <c r="L416" s="5" t="str">
        <f t="shared" si="33"/>
        <v>No</v>
      </c>
      <c r="M416" s="5" t="str">
        <f t="shared" si="34"/>
        <v>Attention Needed</v>
      </c>
      <c r="N416" s="3">
        <f>_xlfn.XLOOKUP(B416, Properties!A:A, Properties!D:D, FALSE)</f>
        <v>36203</v>
      </c>
    </row>
    <row r="417" spans="1:14" x14ac:dyDescent="0.3">
      <c r="A417">
        <v>272</v>
      </c>
      <c r="B417">
        <v>106</v>
      </c>
      <c r="C417">
        <v>10</v>
      </c>
      <c r="D417" s="3">
        <v>77679</v>
      </c>
      <c r="E417" t="s">
        <v>256</v>
      </c>
      <c r="F417" s="1" t="s">
        <v>61</v>
      </c>
      <c r="G417" t="str">
        <f>_xlfn.XLOOKUP(B417, Properties!A:A, Properties!B:B, FALSE)</f>
        <v>Becej</v>
      </c>
      <c r="H417" t="str">
        <f>_xlfn.XLOOKUP(C417, Agents!A:A, Agents!B:B, FALSE)</f>
        <v>Marko Jovic</v>
      </c>
      <c r="I417" t="str">
        <f t="shared" si="30"/>
        <v>2025-04</v>
      </c>
      <c r="J417" s="5" t="str">
        <f t="shared" si="31"/>
        <v>Standard</v>
      </c>
      <c r="K417" s="5" t="str">
        <f t="shared" si="32"/>
        <v>Low</v>
      </c>
      <c r="L417" s="5" t="str">
        <f t="shared" si="33"/>
        <v>No</v>
      </c>
      <c r="M417" s="5" t="str">
        <f t="shared" si="34"/>
        <v>Attention Needed</v>
      </c>
      <c r="N417" s="3">
        <f>_xlfn.XLOOKUP(B417, Properties!A:A, Properties!D:D, FALSE)</f>
        <v>59327</v>
      </c>
    </row>
    <row r="418" spans="1:14" x14ac:dyDescent="0.3">
      <c r="A418">
        <v>205</v>
      </c>
      <c r="B418">
        <v>158</v>
      </c>
      <c r="C418">
        <v>8</v>
      </c>
      <c r="D418" s="3">
        <v>77211</v>
      </c>
      <c r="E418" t="s">
        <v>259</v>
      </c>
      <c r="F418" s="1" t="s">
        <v>197</v>
      </c>
      <c r="G418" t="str">
        <f>_xlfn.XLOOKUP(B418, Properties!A:A, Properties!B:B, FALSE)</f>
        <v>Nis</v>
      </c>
      <c r="H418" t="str">
        <f>_xlfn.XLOOKUP(C418, Agents!A:A, Agents!B:B, FALSE)</f>
        <v>Mina Lukic</v>
      </c>
      <c r="I418" t="str">
        <f t="shared" si="30"/>
        <v>2025-04</v>
      </c>
      <c r="J418" s="5" t="str">
        <f t="shared" si="31"/>
        <v>Standard</v>
      </c>
      <c r="K418" s="5" t="str">
        <f t="shared" si="32"/>
        <v>Low</v>
      </c>
      <c r="L418" s="5" t="str">
        <f t="shared" si="33"/>
        <v>No</v>
      </c>
      <c r="M418" s="5" t="str">
        <f t="shared" si="34"/>
        <v>Ok</v>
      </c>
      <c r="N418" s="3">
        <f>_xlfn.XLOOKUP(B418, Properties!A:A, Properties!D:D, FALSE)</f>
        <v>194298</v>
      </c>
    </row>
    <row r="419" spans="1:14" x14ac:dyDescent="0.3">
      <c r="A419">
        <v>349</v>
      </c>
      <c r="B419">
        <v>139</v>
      </c>
      <c r="C419">
        <v>2</v>
      </c>
      <c r="D419" s="3">
        <v>75768</v>
      </c>
      <c r="E419" t="s">
        <v>259</v>
      </c>
      <c r="F419" s="1" t="s">
        <v>392</v>
      </c>
      <c r="G419" t="str">
        <f>_xlfn.XLOOKUP(B419, Properties!A:A, Properties!B:B, FALSE)</f>
        <v>Becej</v>
      </c>
      <c r="H419" t="str">
        <f>_xlfn.XLOOKUP(C419, Agents!A:A, Agents!B:B, FALSE)</f>
        <v>Jelena Petrovic</v>
      </c>
      <c r="I419" t="str">
        <f t="shared" si="30"/>
        <v>2024-04</v>
      </c>
      <c r="J419" s="5" t="str">
        <f t="shared" si="31"/>
        <v>Standard</v>
      </c>
      <c r="K419" s="5" t="str">
        <f t="shared" si="32"/>
        <v>Low</v>
      </c>
      <c r="L419" s="5" t="str">
        <f t="shared" si="33"/>
        <v>No</v>
      </c>
      <c r="M419" s="5" t="str">
        <f t="shared" si="34"/>
        <v>Ok</v>
      </c>
      <c r="N419" s="3">
        <f>_xlfn.XLOOKUP(B419, Properties!A:A, Properties!D:D, FALSE)</f>
        <v>151893</v>
      </c>
    </row>
    <row r="420" spans="1:14" x14ac:dyDescent="0.3">
      <c r="A420">
        <v>179</v>
      </c>
      <c r="B420">
        <v>283</v>
      </c>
      <c r="C420">
        <v>3</v>
      </c>
      <c r="D420" s="3">
        <v>75201</v>
      </c>
      <c r="E420" t="s">
        <v>257</v>
      </c>
      <c r="F420" s="1" t="s">
        <v>35</v>
      </c>
      <c r="G420" t="str">
        <f>_xlfn.XLOOKUP(B420, Properties!A:A, Properties!B:B, FALSE)</f>
        <v>Nis</v>
      </c>
      <c r="H420" t="str">
        <f>_xlfn.XLOOKUP(C420, Agents!A:A, Agents!B:B, FALSE)</f>
        <v>Ivan Stankovic</v>
      </c>
      <c r="I420" t="str">
        <f t="shared" si="30"/>
        <v>2024-02</v>
      </c>
      <c r="J420" s="5" t="str">
        <f t="shared" si="31"/>
        <v>Standard</v>
      </c>
      <c r="K420" s="5" t="str">
        <f t="shared" si="32"/>
        <v>Low</v>
      </c>
      <c r="L420" s="5" t="str">
        <f t="shared" si="33"/>
        <v>No</v>
      </c>
      <c r="M420" s="5" t="str">
        <f t="shared" si="34"/>
        <v>Attention Needed</v>
      </c>
      <c r="N420" s="3">
        <f>_xlfn.XLOOKUP(B420, Properties!A:A, Properties!D:D, FALSE)</f>
        <v>149365</v>
      </c>
    </row>
    <row r="421" spans="1:14" x14ac:dyDescent="0.3">
      <c r="A421">
        <v>465</v>
      </c>
      <c r="B421">
        <v>123</v>
      </c>
      <c r="C421">
        <v>1</v>
      </c>
      <c r="D421" s="3">
        <v>75200</v>
      </c>
      <c r="E421" t="s">
        <v>259</v>
      </c>
      <c r="F421" s="1" t="s">
        <v>415</v>
      </c>
      <c r="G421" t="str">
        <f>_xlfn.XLOOKUP(B421, Properties!A:A, Properties!B:B, FALSE)</f>
        <v>Nis</v>
      </c>
      <c r="H421" t="str">
        <f>_xlfn.XLOOKUP(C421, Agents!A:A, Agents!B:B, FALSE)</f>
        <v>Ana Markovic</v>
      </c>
      <c r="I421" t="str">
        <f t="shared" si="30"/>
        <v>2025-04</v>
      </c>
      <c r="J421" s="5" t="str">
        <f t="shared" si="31"/>
        <v>Standard</v>
      </c>
      <c r="K421" s="5" t="str">
        <f t="shared" si="32"/>
        <v>Low</v>
      </c>
      <c r="L421" s="5" t="str">
        <f t="shared" si="33"/>
        <v>No</v>
      </c>
      <c r="M421" s="5" t="str">
        <f t="shared" si="34"/>
        <v>Ok</v>
      </c>
      <c r="N421" s="3">
        <f>_xlfn.XLOOKUP(B421, Properties!A:A, Properties!D:D, FALSE)</f>
        <v>208131</v>
      </c>
    </row>
    <row r="422" spans="1:14" x14ac:dyDescent="0.3">
      <c r="A422">
        <v>140</v>
      </c>
      <c r="B422">
        <v>293</v>
      </c>
      <c r="C422">
        <v>7</v>
      </c>
      <c r="D422" s="3">
        <v>74886</v>
      </c>
      <c r="E422" t="s">
        <v>259</v>
      </c>
      <c r="F422" s="1" t="s">
        <v>316</v>
      </c>
      <c r="G422" t="str">
        <f>_xlfn.XLOOKUP(B422, Properties!A:A, Properties!B:B, FALSE)</f>
        <v>Subotica</v>
      </c>
      <c r="H422" t="str">
        <f>_xlfn.XLOOKUP(C422, Agents!A:A, Agents!B:B, FALSE)</f>
        <v>Ana Markovic</v>
      </c>
      <c r="I422" t="str">
        <f t="shared" si="30"/>
        <v>2024-09</v>
      </c>
      <c r="J422" s="5" t="str">
        <f t="shared" si="31"/>
        <v>Standard</v>
      </c>
      <c r="K422" s="5" t="str">
        <f t="shared" si="32"/>
        <v>Low</v>
      </c>
      <c r="L422" s="5" t="str">
        <f t="shared" si="33"/>
        <v>No</v>
      </c>
      <c r="M422" s="5" t="str">
        <f t="shared" si="34"/>
        <v>Ok</v>
      </c>
      <c r="N422" s="3">
        <f>_xlfn.XLOOKUP(B422, Properties!A:A, Properties!D:D, FALSE)</f>
        <v>193383</v>
      </c>
    </row>
    <row r="423" spans="1:14" x14ac:dyDescent="0.3">
      <c r="A423">
        <v>374</v>
      </c>
      <c r="B423">
        <v>19</v>
      </c>
      <c r="C423">
        <v>6</v>
      </c>
      <c r="D423" s="3">
        <v>74555</v>
      </c>
      <c r="E423" t="s">
        <v>257</v>
      </c>
      <c r="F423" s="1" t="s">
        <v>172</v>
      </c>
      <c r="G423" t="str">
        <f>_xlfn.XLOOKUP(B423, Properties!A:A, Properties!B:B, FALSE)</f>
        <v>Subotica</v>
      </c>
      <c r="H423" t="str">
        <f>_xlfn.XLOOKUP(C423, Agents!A:A, Agents!B:B, FALSE)</f>
        <v>Marko Jovic</v>
      </c>
      <c r="I423" t="str">
        <f t="shared" si="30"/>
        <v>2024-02</v>
      </c>
      <c r="J423" s="5" t="str">
        <f t="shared" si="31"/>
        <v>Standard</v>
      </c>
      <c r="K423" s="5" t="str">
        <f t="shared" si="32"/>
        <v>Low</v>
      </c>
      <c r="L423" s="5" t="str">
        <f t="shared" si="33"/>
        <v>No</v>
      </c>
      <c r="M423" s="5" t="str">
        <f t="shared" si="34"/>
        <v>Attention Needed</v>
      </c>
      <c r="N423" s="3">
        <f>_xlfn.XLOOKUP(B423, Properties!A:A, Properties!D:D, FALSE)</f>
        <v>127040</v>
      </c>
    </row>
    <row r="424" spans="1:14" x14ac:dyDescent="0.3">
      <c r="A424">
        <v>69</v>
      </c>
      <c r="B424">
        <v>160</v>
      </c>
      <c r="C424">
        <v>6</v>
      </c>
      <c r="D424" s="3">
        <v>74541</v>
      </c>
      <c r="E424" t="s">
        <v>257</v>
      </c>
      <c r="F424" s="1" t="s">
        <v>284</v>
      </c>
      <c r="G424" t="str">
        <f>_xlfn.XLOOKUP(B424, Properties!A:A, Properties!B:B, FALSE)</f>
        <v>Subotica</v>
      </c>
      <c r="H424" t="str">
        <f>_xlfn.XLOOKUP(C424, Agents!A:A, Agents!B:B, FALSE)</f>
        <v>Marko Jovic</v>
      </c>
      <c r="I424" t="str">
        <f t="shared" si="30"/>
        <v>2025-03</v>
      </c>
      <c r="J424" s="5" t="str">
        <f t="shared" si="31"/>
        <v>Standard</v>
      </c>
      <c r="K424" s="5" t="str">
        <f t="shared" si="32"/>
        <v>Low</v>
      </c>
      <c r="L424" s="5" t="str">
        <f t="shared" si="33"/>
        <v>No</v>
      </c>
      <c r="M424" s="5" t="str">
        <f t="shared" si="34"/>
        <v>Attention Needed</v>
      </c>
      <c r="N424" s="3">
        <f>_xlfn.XLOOKUP(B424, Properties!A:A, Properties!D:D, FALSE)</f>
        <v>101228</v>
      </c>
    </row>
    <row r="425" spans="1:14" x14ac:dyDescent="0.3">
      <c r="A425">
        <v>491</v>
      </c>
      <c r="B425">
        <v>191</v>
      </c>
      <c r="C425">
        <v>8</v>
      </c>
      <c r="D425" s="3">
        <v>74513</v>
      </c>
      <c r="E425" t="s">
        <v>257</v>
      </c>
      <c r="F425" s="1" t="s">
        <v>189</v>
      </c>
      <c r="G425" t="str">
        <f>_xlfn.XLOOKUP(B425, Properties!A:A, Properties!B:B, FALSE)</f>
        <v>Belgrade</v>
      </c>
      <c r="H425" t="str">
        <f>_xlfn.XLOOKUP(C425, Agents!A:A, Agents!B:B, FALSE)</f>
        <v>Mina Lukic</v>
      </c>
      <c r="I425" t="str">
        <f t="shared" si="30"/>
        <v>2024-10</v>
      </c>
      <c r="J425" s="5" t="str">
        <f t="shared" si="31"/>
        <v>Standard</v>
      </c>
      <c r="K425" s="5" t="str">
        <f t="shared" si="32"/>
        <v>Low</v>
      </c>
      <c r="L425" s="5" t="str">
        <f t="shared" si="33"/>
        <v>No</v>
      </c>
      <c r="M425" s="5" t="str">
        <f t="shared" si="34"/>
        <v>Attention Needed</v>
      </c>
      <c r="N425" s="3">
        <f>_xlfn.XLOOKUP(B425, Properties!A:A, Properties!D:D, FALSE)</f>
        <v>56712</v>
      </c>
    </row>
    <row r="426" spans="1:14" x14ac:dyDescent="0.3">
      <c r="A426">
        <v>396</v>
      </c>
      <c r="B426">
        <v>89</v>
      </c>
      <c r="C426">
        <v>5</v>
      </c>
      <c r="D426" s="3">
        <v>74434</v>
      </c>
      <c r="E426" t="s">
        <v>257</v>
      </c>
      <c r="F426" s="1" t="s">
        <v>212</v>
      </c>
      <c r="G426" t="str">
        <f>_xlfn.XLOOKUP(B426, Properties!A:A, Properties!B:B, FALSE)</f>
        <v>Novi Sad</v>
      </c>
      <c r="H426" t="str">
        <f>_xlfn.XLOOKUP(C426, Agents!A:A, Agents!B:B, FALSE)</f>
        <v>Mina Lukic</v>
      </c>
      <c r="I426" t="str">
        <f t="shared" si="30"/>
        <v>2024-12</v>
      </c>
      <c r="J426" s="5" t="str">
        <f t="shared" si="31"/>
        <v>Standard</v>
      </c>
      <c r="K426" s="5" t="str">
        <f t="shared" si="32"/>
        <v>Low</v>
      </c>
      <c r="L426" s="5" t="str">
        <f t="shared" si="33"/>
        <v>No</v>
      </c>
      <c r="M426" s="5" t="str">
        <f t="shared" si="34"/>
        <v>Attention Needed</v>
      </c>
      <c r="N426" s="3">
        <f>_xlfn.XLOOKUP(B426, Properties!A:A, Properties!D:D, FALSE)</f>
        <v>149858</v>
      </c>
    </row>
    <row r="427" spans="1:14" x14ac:dyDescent="0.3">
      <c r="A427">
        <v>108</v>
      </c>
      <c r="B427">
        <v>201</v>
      </c>
      <c r="C427">
        <v>3</v>
      </c>
      <c r="D427" s="3">
        <v>74417</v>
      </c>
      <c r="E427" t="s">
        <v>257</v>
      </c>
      <c r="F427" s="1" t="s">
        <v>127</v>
      </c>
      <c r="G427" t="str">
        <f>_xlfn.XLOOKUP(B427, Properties!A:A, Properties!B:B, FALSE)</f>
        <v>Novi Sad</v>
      </c>
      <c r="H427" t="str">
        <f>_xlfn.XLOOKUP(C427, Agents!A:A, Agents!B:B, FALSE)</f>
        <v>Ivan Stankovic</v>
      </c>
      <c r="I427" t="str">
        <f t="shared" si="30"/>
        <v>2024-06</v>
      </c>
      <c r="J427" s="5" t="str">
        <f t="shared" si="31"/>
        <v>Standard</v>
      </c>
      <c r="K427" s="5" t="str">
        <f t="shared" si="32"/>
        <v>Low</v>
      </c>
      <c r="L427" s="5" t="str">
        <f t="shared" si="33"/>
        <v>No</v>
      </c>
      <c r="M427" s="5" t="str">
        <f t="shared" si="34"/>
        <v>Attention Needed</v>
      </c>
      <c r="N427" s="3">
        <f>_xlfn.XLOOKUP(B427, Properties!A:A, Properties!D:D, FALSE)</f>
        <v>103119</v>
      </c>
    </row>
    <row r="428" spans="1:14" x14ac:dyDescent="0.3">
      <c r="A428">
        <v>191</v>
      </c>
      <c r="B428">
        <v>289</v>
      </c>
      <c r="C428">
        <v>1</v>
      </c>
      <c r="D428" s="3">
        <v>72584</v>
      </c>
      <c r="E428" t="s">
        <v>259</v>
      </c>
      <c r="F428" s="1" t="s">
        <v>135</v>
      </c>
      <c r="G428" t="str">
        <f>_xlfn.XLOOKUP(B428, Properties!A:A, Properties!B:B, FALSE)</f>
        <v>Nis</v>
      </c>
      <c r="H428" t="str">
        <f>_xlfn.XLOOKUP(C428, Agents!A:A, Agents!B:B, FALSE)</f>
        <v>Ana Markovic</v>
      </c>
      <c r="I428" t="str">
        <f t="shared" si="30"/>
        <v>2024-01</v>
      </c>
      <c r="J428" s="5" t="str">
        <f t="shared" si="31"/>
        <v>Standard</v>
      </c>
      <c r="K428" s="5" t="str">
        <f t="shared" si="32"/>
        <v>Low</v>
      </c>
      <c r="L428" s="5" t="str">
        <f t="shared" si="33"/>
        <v>No</v>
      </c>
      <c r="M428" s="5" t="str">
        <f t="shared" si="34"/>
        <v>Ok</v>
      </c>
      <c r="N428" s="3">
        <f>_xlfn.XLOOKUP(B428, Properties!A:A, Properties!D:D, FALSE)</f>
        <v>56309</v>
      </c>
    </row>
    <row r="429" spans="1:14" x14ac:dyDescent="0.3">
      <c r="A429">
        <v>330</v>
      </c>
      <c r="B429">
        <v>116</v>
      </c>
      <c r="C429">
        <v>5</v>
      </c>
      <c r="D429" s="3">
        <v>72266</v>
      </c>
      <c r="E429" t="s">
        <v>257</v>
      </c>
      <c r="F429" s="1" t="s">
        <v>365</v>
      </c>
      <c r="G429" t="str">
        <f>_xlfn.XLOOKUP(B429, Properties!A:A, Properties!B:B, FALSE)</f>
        <v>Novi Sad</v>
      </c>
      <c r="H429" t="str">
        <f>_xlfn.XLOOKUP(C429, Agents!A:A, Agents!B:B, FALSE)</f>
        <v>Mina Lukic</v>
      </c>
      <c r="I429" t="str">
        <f t="shared" si="30"/>
        <v>2024-11</v>
      </c>
      <c r="J429" s="5" t="str">
        <f t="shared" si="31"/>
        <v>Standard</v>
      </c>
      <c r="K429" s="5" t="str">
        <f t="shared" si="32"/>
        <v>Low</v>
      </c>
      <c r="L429" s="5" t="str">
        <f t="shared" si="33"/>
        <v>No</v>
      </c>
      <c r="M429" s="5" t="str">
        <f t="shared" si="34"/>
        <v>Attention Needed</v>
      </c>
      <c r="N429" s="3">
        <f>_xlfn.XLOOKUP(B429, Properties!A:A, Properties!D:D, FALSE)</f>
        <v>71732</v>
      </c>
    </row>
    <row r="430" spans="1:14" x14ac:dyDescent="0.3">
      <c r="A430">
        <v>328</v>
      </c>
      <c r="B430">
        <v>182</v>
      </c>
      <c r="C430">
        <v>5</v>
      </c>
      <c r="D430" s="3">
        <v>71428</v>
      </c>
      <c r="E430" t="s">
        <v>256</v>
      </c>
      <c r="F430" s="1" t="s">
        <v>52</v>
      </c>
      <c r="G430" t="str">
        <f>_xlfn.XLOOKUP(B430, Properties!A:A, Properties!B:B, FALSE)</f>
        <v>Belgrade</v>
      </c>
      <c r="H430" t="str">
        <f>_xlfn.XLOOKUP(C430, Agents!A:A, Agents!B:B, FALSE)</f>
        <v>Mina Lukic</v>
      </c>
      <c r="I430" t="str">
        <f t="shared" si="30"/>
        <v>2024-07</v>
      </c>
      <c r="J430" s="5" t="str">
        <f t="shared" si="31"/>
        <v>Standard</v>
      </c>
      <c r="K430" s="5" t="str">
        <f t="shared" si="32"/>
        <v>Low</v>
      </c>
      <c r="L430" s="5" t="str">
        <f t="shared" si="33"/>
        <v>No</v>
      </c>
      <c r="M430" s="5" t="str">
        <f t="shared" si="34"/>
        <v>Attention Needed</v>
      </c>
      <c r="N430" s="3">
        <f>_xlfn.XLOOKUP(B430, Properties!A:A, Properties!D:D, FALSE)</f>
        <v>227717</v>
      </c>
    </row>
    <row r="431" spans="1:14" x14ac:dyDescent="0.3">
      <c r="A431">
        <v>85</v>
      </c>
      <c r="B431">
        <v>224</v>
      </c>
      <c r="C431">
        <v>10</v>
      </c>
      <c r="D431" s="3">
        <v>71233</v>
      </c>
      <c r="E431" t="s">
        <v>256</v>
      </c>
      <c r="F431" s="1" t="s">
        <v>89</v>
      </c>
      <c r="G431" t="str">
        <f>_xlfn.XLOOKUP(B431, Properties!A:A, Properties!B:B, FALSE)</f>
        <v>Nis</v>
      </c>
      <c r="H431" t="str">
        <f>_xlfn.XLOOKUP(C431, Agents!A:A, Agents!B:B, FALSE)</f>
        <v>Marko Jovic</v>
      </c>
      <c r="I431" t="str">
        <f t="shared" si="30"/>
        <v>2024-07</v>
      </c>
      <c r="J431" s="5" t="str">
        <f t="shared" si="31"/>
        <v>Standard</v>
      </c>
      <c r="K431" s="5" t="str">
        <f t="shared" si="32"/>
        <v>Low</v>
      </c>
      <c r="L431" s="5" t="str">
        <f t="shared" si="33"/>
        <v>No</v>
      </c>
      <c r="M431" s="5" t="str">
        <f t="shared" si="34"/>
        <v>Attention Needed</v>
      </c>
      <c r="N431" s="3">
        <f>_xlfn.XLOOKUP(B431, Properties!A:A, Properties!D:D, FALSE)</f>
        <v>101909</v>
      </c>
    </row>
    <row r="432" spans="1:14" x14ac:dyDescent="0.3">
      <c r="A432">
        <v>341</v>
      </c>
      <c r="B432">
        <v>51</v>
      </c>
      <c r="C432">
        <v>7</v>
      </c>
      <c r="D432" s="3">
        <v>69855</v>
      </c>
      <c r="E432" t="s">
        <v>259</v>
      </c>
      <c r="F432" s="1" t="s">
        <v>387</v>
      </c>
      <c r="G432" t="str">
        <f>_xlfn.XLOOKUP(B432, Properties!A:A, Properties!B:B, FALSE)</f>
        <v>Nis</v>
      </c>
      <c r="H432" t="str">
        <f>_xlfn.XLOOKUP(C432, Agents!A:A, Agents!B:B, FALSE)</f>
        <v>Ana Markovic</v>
      </c>
      <c r="I432" t="str">
        <f t="shared" si="30"/>
        <v>2024-06</v>
      </c>
      <c r="J432" s="5" t="str">
        <f t="shared" si="31"/>
        <v>Standard</v>
      </c>
      <c r="K432" s="5" t="str">
        <f t="shared" si="32"/>
        <v>Low</v>
      </c>
      <c r="L432" s="5" t="str">
        <f t="shared" si="33"/>
        <v>No</v>
      </c>
      <c r="M432" s="5" t="str">
        <f t="shared" si="34"/>
        <v>Ok</v>
      </c>
      <c r="N432" s="3">
        <f>_xlfn.XLOOKUP(B432, Properties!A:A, Properties!D:D, FALSE)</f>
        <v>216895</v>
      </c>
    </row>
    <row r="433" spans="1:14" x14ac:dyDescent="0.3">
      <c r="A433">
        <v>181</v>
      </c>
      <c r="B433">
        <v>211</v>
      </c>
      <c r="C433">
        <v>7</v>
      </c>
      <c r="D433" s="3">
        <v>68666</v>
      </c>
      <c r="E433" t="s">
        <v>257</v>
      </c>
      <c r="F433" s="1" t="s">
        <v>168</v>
      </c>
      <c r="G433" t="str">
        <f>_xlfn.XLOOKUP(B433, Properties!A:A, Properties!B:B, FALSE)</f>
        <v>Becej</v>
      </c>
      <c r="H433" t="str">
        <f>_xlfn.XLOOKUP(C433, Agents!A:A, Agents!B:B, FALSE)</f>
        <v>Ana Markovic</v>
      </c>
      <c r="I433" t="str">
        <f t="shared" si="30"/>
        <v>2024-03</v>
      </c>
      <c r="J433" s="5" t="str">
        <f t="shared" si="31"/>
        <v>Standard</v>
      </c>
      <c r="K433" s="5" t="str">
        <f t="shared" si="32"/>
        <v>Low</v>
      </c>
      <c r="L433" s="5" t="str">
        <f t="shared" si="33"/>
        <v>No</v>
      </c>
      <c r="M433" s="5" t="str">
        <f t="shared" si="34"/>
        <v>Attention Needed</v>
      </c>
      <c r="N433" s="3">
        <f>_xlfn.XLOOKUP(B433, Properties!A:A, Properties!D:D, FALSE)</f>
        <v>237862</v>
      </c>
    </row>
    <row r="434" spans="1:14" x14ac:dyDescent="0.3">
      <c r="A434">
        <v>345</v>
      </c>
      <c r="B434">
        <v>152</v>
      </c>
      <c r="C434">
        <v>4</v>
      </c>
      <c r="D434" s="3">
        <v>68538</v>
      </c>
      <c r="E434" t="s">
        <v>257</v>
      </c>
      <c r="F434" s="1" t="s">
        <v>390</v>
      </c>
      <c r="G434" t="str">
        <f>_xlfn.XLOOKUP(B434, Properties!A:A, Properties!B:B, FALSE)</f>
        <v>Novi Sad</v>
      </c>
      <c r="H434" t="str">
        <f>_xlfn.XLOOKUP(C434, Agents!A:A, Agents!B:B, FALSE)</f>
        <v>Marko Jovic</v>
      </c>
      <c r="I434" t="str">
        <f t="shared" si="30"/>
        <v>2024-02</v>
      </c>
      <c r="J434" s="5" t="str">
        <f t="shared" si="31"/>
        <v>Standard</v>
      </c>
      <c r="K434" s="5" t="str">
        <f t="shared" si="32"/>
        <v>Low</v>
      </c>
      <c r="L434" s="5" t="str">
        <f t="shared" si="33"/>
        <v>No</v>
      </c>
      <c r="M434" s="5" t="str">
        <f t="shared" si="34"/>
        <v>Attention Needed</v>
      </c>
      <c r="N434" s="3">
        <f>_xlfn.XLOOKUP(B434, Properties!A:A, Properties!D:D, FALSE)</f>
        <v>149658</v>
      </c>
    </row>
    <row r="435" spans="1:14" x14ac:dyDescent="0.3">
      <c r="A435">
        <v>457</v>
      </c>
      <c r="B435">
        <v>280</v>
      </c>
      <c r="C435">
        <v>3</v>
      </c>
      <c r="D435" s="3">
        <v>68268</v>
      </c>
      <c r="E435" t="s">
        <v>256</v>
      </c>
      <c r="F435" s="1" t="s">
        <v>187</v>
      </c>
      <c r="G435" t="str">
        <f>_xlfn.XLOOKUP(B435, Properties!A:A, Properties!B:B, FALSE)</f>
        <v>Subotica</v>
      </c>
      <c r="H435" t="str">
        <f>_xlfn.XLOOKUP(C435, Agents!A:A, Agents!B:B, FALSE)</f>
        <v>Ivan Stankovic</v>
      </c>
      <c r="I435" t="str">
        <f t="shared" si="30"/>
        <v>2024-01</v>
      </c>
      <c r="J435" s="5" t="str">
        <f t="shared" si="31"/>
        <v>Standard</v>
      </c>
      <c r="K435" s="5" t="str">
        <f t="shared" si="32"/>
        <v>Low</v>
      </c>
      <c r="L435" s="5" t="str">
        <f t="shared" si="33"/>
        <v>No</v>
      </c>
      <c r="M435" s="5" t="str">
        <f t="shared" si="34"/>
        <v>Attention Needed</v>
      </c>
      <c r="N435" s="3">
        <f>_xlfn.XLOOKUP(B435, Properties!A:A, Properties!D:D, FALSE)</f>
        <v>104144</v>
      </c>
    </row>
    <row r="436" spans="1:14" x14ac:dyDescent="0.3">
      <c r="A436">
        <v>369</v>
      </c>
      <c r="B436">
        <v>108</v>
      </c>
      <c r="C436">
        <v>8</v>
      </c>
      <c r="D436" s="3">
        <v>66259</v>
      </c>
      <c r="E436" t="s">
        <v>256</v>
      </c>
      <c r="F436" s="1" t="s">
        <v>133</v>
      </c>
      <c r="G436" t="str">
        <f>_xlfn.XLOOKUP(B436, Properties!A:A, Properties!B:B, FALSE)</f>
        <v>Nis</v>
      </c>
      <c r="H436" t="str">
        <f>_xlfn.XLOOKUP(C436, Agents!A:A, Agents!B:B, FALSE)</f>
        <v>Mina Lukic</v>
      </c>
      <c r="I436" t="str">
        <f t="shared" si="30"/>
        <v>2025-02</v>
      </c>
      <c r="J436" s="5" t="str">
        <f t="shared" si="31"/>
        <v>Standard</v>
      </c>
      <c r="K436" s="5" t="str">
        <f t="shared" si="32"/>
        <v>Low</v>
      </c>
      <c r="L436" s="5" t="str">
        <f t="shared" si="33"/>
        <v>No</v>
      </c>
      <c r="M436" s="5" t="str">
        <f t="shared" si="34"/>
        <v>Attention Needed</v>
      </c>
      <c r="N436" s="3">
        <f>_xlfn.XLOOKUP(B436, Properties!A:A, Properties!D:D, FALSE)</f>
        <v>142666</v>
      </c>
    </row>
    <row r="437" spans="1:14" x14ac:dyDescent="0.3">
      <c r="A437">
        <v>278</v>
      </c>
      <c r="B437">
        <v>33</v>
      </c>
      <c r="C437">
        <v>9</v>
      </c>
      <c r="D437" s="3">
        <v>66185</v>
      </c>
      <c r="E437" t="s">
        <v>259</v>
      </c>
      <c r="F437" s="1" t="s">
        <v>67</v>
      </c>
      <c r="G437" t="str">
        <f>_xlfn.XLOOKUP(B437, Properties!A:A, Properties!B:B, FALSE)</f>
        <v>Novi Sad</v>
      </c>
      <c r="H437" t="str">
        <f>_xlfn.XLOOKUP(C437, Agents!A:A, Agents!B:B, FALSE)</f>
        <v>Ivan Stankovic</v>
      </c>
      <c r="I437" t="str">
        <f t="shared" si="30"/>
        <v>2025-04</v>
      </c>
      <c r="J437" s="5" t="str">
        <f t="shared" si="31"/>
        <v>Standard</v>
      </c>
      <c r="K437" s="5" t="str">
        <f t="shared" si="32"/>
        <v>Low</v>
      </c>
      <c r="L437" s="5" t="str">
        <f t="shared" si="33"/>
        <v>No</v>
      </c>
      <c r="M437" s="5" t="str">
        <f t="shared" si="34"/>
        <v>Ok</v>
      </c>
      <c r="N437" s="3">
        <f>_xlfn.XLOOKUP(B437, Properties!A:A, Properties!D:D, FALSE)</f>
        <v>186345</v>
      </c>
    </row>
    <row r="438" spans="1:14" x14ac:dyDescent="0.3">
      <c r="A438">
        <v>93</v>
      </c>
      <c r="B438">
        <v>162</v>
      </c>
      <c r="C438">
        <v>3</v>
      </c>
      <c r="D438" s="3">
        <v>65801</v>
      </c>
      <c r="E438" t="s">
        <v>256</v>
      </c>
      <c r="F438" s="1" t="s">
        <v>214</v>
      </c>
      <c r="G438" t="str">
        <f>_xlfn.XLOOKUP(B438, Properties!A:A, Properties!B:B, FALSE)</f>
        <v>Novi Sad</v>
      </c>
      <c r="H438" t="str">
        <f>_xlfn.XLOOKUP(C438, Agents!A:A, Agents!B:B, FALSE)</f>
        <v>Ivan Stankovic</v>
      </c>
      <c r="I438" t="str">
        <f t="shared" si="30"/>
        <v>2024-08</v>
      </c>
      <c r="J438" s="5" t="str">
        <f t="shared" si="31"/>
        <v>Standard</v>
      </c>
      <c r="K438" s="5" t="str">
        <f t="shared" si="32"/>
        <v>Low</v>
      </c>
      <c r="L438" s="5" t="str">
        <f t="shared" si="33"/>
        <v>No</v>
      </c>
      <c r="M438" s="5" t="str">
        <f t="shared" si="34"/>
        <v>Attention Needed</v>
      </c>
      <c r="N438" s="3">
        <f>_xlfn.XLOOKUP(B438, Properties!A:A, Properties!D:D, FALSE)</f>
        <v>211914</v>
      </c>
    </row>
    <row r="439" spans="1:14" x14ac:dyDescent="0.3">
      <c r="A439">
        <v>144</v>
      </c>
      <c r="B439">
        <v>130</v>
      </c>
      <c r="C439">
        <v>1</v>
      </c>
      <c r="D439" s="3">
        <v>65420</v>
      </c>
      <c r="E439" t="s">
        <v>256</v>
      </c>
      <c r="F439" s="1" t="s">
        <v>317</v>
      </c>
      <c r="G439" t="str">
        <f>_xlfn.XLOOKUP(B439, Properties!A:A, Properties!B:B, FALSE)</f>
        <v>Subotica</v>
      </c>
      <c r="H439" t="str">
        <f>_xlfn.XLOOKUP(C439, Agents!A:A, Agents!B:B, FALSE)</f>
        <v>Ana Markovic</v>
      </c>
      <c r="I439" t="str">
        <f t="shared" si="30"/>
        <v>2024-06</v>
      </c>
      <c r="J439" s="5" t="str">
        <f t="shared" si="31"/>
        <v>Standard</v>
      </c>
      <c r="K439" s="5" t="str">
        <f t="shared" si="32"/>
        <v>Low</v>
      </c>
      <c r="L439" s="5" t="str">
        <f t="shared" si="33"/>
        <v>No</v>
      </c>
      <c r="M439" s="5" t="str">
        <f t="shared" si="34"/>
        <v>Attention Needed</v>
      </c>
      <c r="N439" s="3">
        <f>_xlfn.XLOOKUP(B439, Properties!A:A, Properties!D:D, FALSE)</f>
        <v>215803</v>
      </c>
    </row>
    <row r="440" spans="1:14" x14ac:dyDescent="0.3">
      <c r="A440">
        <v>164</v>
      </c>
      <c r="B440">
        <v>225</v>
      </c>
      <c r="C440">
        <v>1</v>
      </c>
      <c r="D440" s="3">
        <v>65249</v>
      </c>
      <c r="E440" t="s">
        <v>259</v>
      </c>
      <c r="F440" s="1" t="s">
        <v>311</v>
      </c>
      <c r="G440" t="str">
        <f>_xlfn.XLOOKUP(B440, Properties!A:A, Properties!B:B, FALSE)</f>
        <v>Belgrade</v>
      </c>
      <c r="H440" t="str">
        <f>_xlfn.XLOOKUP(C440, Agents!A:A, Agents!B:B, FALSE)</f>
        <v>Ana Markovic</v>
      </c>
      <c r="I440" t="str">
        <f t="shared" si="30"/>
        <v>2024-04</v>
      </c>
      <c r="J440" s="5" t="str">
        <f t="shared" si="31"/>
        <v>Standard</v>
      </c>
      <c r="K440" s="5" t="str">
        <f t="shared" si="32"/>
        <v>Low</v>
      </c>
      <c r="L440" s="5" t="str">
        <f t="shared" si="33"/>
        <v>No</v>
      </c>
      <c r="M440" s="5" t="str">
        <f t="shared" si="34"/>
        <v>Ok</v>
      </c>
      <c r="N440" s="3">
        <f>_xlfn.XLOOKUP(B440, Properties!A:A, Properties!D:D, FALSE)</f>
        <v>212823</v>
      </c>
    </row>
    <row r="441" spans="1:14" x14ac:dyDescent="0.3">
      <c r="A441">
        <v>174</v>
      </c>
      <c r="B441">
        <v>164</v>
      </c>
      <c r="C441">
        <v>6</v>
      </c>
      <c r="D441" s="3">
        <v>64046</v>
      </c>
      <c r="E441" t="s">
        <v>257</v>
      </c>
      <c r="F441" s="1" t="s">
        <v>191</v>
      </c>
      <c r="G441" t="str">
        <f>_xlfn.XLOOKUP(B441, Properties!A:A, Properties!B:B, FALSE)</f>
        <v>Subotica</v>
      </c>
      <c r="H441" t="str">
        <f>_xlfn.XLOOKUP(C441, Agents!A:A, Agents!B:B, FALSE)</f>
        <v>Marko Jovic</v>
      </c>
      <c r="I441" t="str">
        <f t="shared" si="30"/>
        <v>2024-10</v>
      </c>
      <c r="J441" s="5" t="str">
        <f t="shared" si="31"/>
        <v>Standard</v>
      </c>
      <c r="K441" s="5" t="str">
        <f t="shared" si="32"/>
        <v>Low</v>
      </c>
      <c r="L441" s="5" t="str">
        <f t="shared" si="33"/>
        <v>No</v>
      </c>
      <c r="M441" s="5" t="str">
        <f t="shared" si="34"/>
        <v>Attention Needed</v>
      </c>
      <c r="N441" s="3">
        <f>_xlfn.XLOOKUP(B441, Properties!A:A, Properties!D:D, FALSE)</f>
        <v>138992</v>
      </c>
    </row>
    <row r="442" spans="1:14" x14ac:dyDescent="0.3">
      <c r="A442">
        <v>471</v>
      </c>
      <c r="B442">
        <v>220</v>
      </c>
      <c r="C442">
        <v>5</v>
      </c>
      <c r="D442" s="3">
        <v>63487</v>
      </c>
      <c r="E442" t="s">
        <v>257</v>
      </c>
      <c r="F442" s="1" t="s">
        <v>104</v>
      </c>
      <c r="G442" t="str">
        <f>_xlfn.XLOOKUP(B442, Properties!A:A, Properties!B:B, FALSE)</f>
        <v>Becej</v>
      </c>
      <c r="H442" t="str">
        <f>_xlfn.XLOOKUP(C442, Agents!A:A, Agents!B:B, FALSE)</f>
        <v>Mina Lukic</v>
      </c>
      <c r="I442" t="str">
        <f t="shared" si="30"/>
        <v>2024-05</v>
      </c>
      <c r="J442" s="5" t="str">
        <f t="shared" si="31"/>
        <v>Standard</v>
      </c>
      <c r="K442" s="5" t="str">
        <f t="shared" si="32"/>
        <v>Low</v>
      </c>
      <c r="L442" s="5" t="str">
        <f t="shared" si="33"/>
        <v>No</v>
      </c>
      <c r="M442" s="5" t="str">
        <f t="shared" si="34"/>
        <v>Attention Needed</v>
      </c>
      <c r="N442" s="3">
        <f>_xlfn.XLOOKUP(B442, Properties!A:A, Properties!D:D, FALSE)</f>
        <v>219945</v>
      </c>
    </row>
    <row r="443" spans="1:14" x14ac:dyDescent="0.3">
      <c r="A443">
        <v>41</v>
      </c>
      <c r="B443">
        <v>216</v>
      </c>
      <c r="C443">
        <v>9</v>
      </c>
      <c r="D443" s="3">
        <v>63322</v>
      </c>
      <c r="E443" t="s">
        <v>259</v>
      </c>
      <c r="F443" s="1" t="s">
        <v>58</v>
      </c>
      <c r="G443" t="str">
        <f>_xlfn.XLOOKUP(B443, Properties!A:A, Properties!B:B, FALSE)</f>
        <v>Subotica</v>
      </c>
      <c r="H443" t="str">
        <f>_xlfn.XLOOKUP(C443, Agents!A:A, Agents!B:B, FALSE)</f>
        <v>Ivan Stankovic</v>
      </c>
      <c r="I443" t="str">
        <f t="shared" si="30"/>
        <v>2024-08</v>
      </c>
      <c r="J443" s="5" t="str">
        <f t="shared" si="31"/>
        <v>Standard</v>
      </c>
      <c r="K443" s="5" t="str">
        <f t="shared" si="32"/>
        <v>Low</v>
      </c>
      <c r="L443" s="5" t="str">
        <f t="shared" si="33"/>
        <v>No</v>
      </c>
      <c r="M443" s="5" t="str">
        <f t="shared" si="34"/>
        <v>Ok</v>
      </c>
      <c r="N443" s="3">
        <f>_xlfn.XLOOKUP(B443, Properties!A:A, Properties!D:D, FALSE)</f>
        <v>214249</v>
      </c>
    </row>
    <row r="444" spans="1:14" x14ac:dyDescent="0.3">
      <c r="A444">
        <v>356</v>
      </c>
      <c r="B444">
        <v>138</v>
      </c>
      <c r="C444">
        <v>8</v>
      </c>
      <c r="D444" s="3">
        <v>63170</v>
      </c>
      <c r="E444" t="s">
        <v>259</v>
      </c>
      <c r="F444" s="1" t="s">
        <v>323</v>
      </c>
      <c r="G444" t="str">
        <f>_xlfn.XLOOKUP(B444, Properties!A:A, Properties!B:B, FALSE)</f>
        <v>Belgrade</v>
      </c>
      <c r="H444" t="str">
        <f>_xlfn.XLOOKUP(C444, Agents!A:A, Agents!B:B, FALSE)</f>
        <v>Mina Lukic</v>
      </c>
      <c r="I444" t="str">
        <f t="shared" si="30"/>
        <v>2024-03</v>
      </c>
      <c r="J444" s="5" t="str">
        <f t="shared" si="31"/>
        <v>Standard</v>
      </c>
      <c r="K444" s="5" t="str">
        <f t="shared" si="32"/>
        <v>Low</v>
      </c>
      <c r="L444" s="5" t="str">
        <f t="shared" si="33"/>
        <v>No</v>
      </c>
      <c r="M444" s="5" t="str">
        <f t="shared" si="34"/>
        <v>Ok</v>
      </c>
      <c r="N444" s="3">
        <f>_xlfn.XLOOKUP(B444, Properties!A:A, Properties!D:D, FALSE)</f>
        <v>105212</v>
      </c>
    </row>
    <row r="445" spans="1:14" x14ac:dyDescent="0.3">
      <c r="A445">
        <v>56</v>
      </c>
      <c r="B445">
        <v>191</v>
      </c>
      <c r="C445">
        <v>3</v>
      </c>
      <c r="D445" s="3">
        <v>61447</v>
      </c>
      <c r="E445" t="s">
        <v>257</v>
      </c>
      <c r="F445" s="1" t="s">
        <v>271</v>
      </c>
      <c r="G445" t="str">
        <f>_xlfn.XLOOKUP(B445, Properties!A:A, Properties!B:B, FALSE)</f>
        <v>Belgrade</v>
      </c>
      <c r="H445" t="str">
        <f>_xlfn.XLOOKUP(C445, Agents!A:A, Agents!B:B, FALSE)</f>
        <v>Ivan Stankovic</v>
      </c>
      <c r="I445" t="str">
        <f t="shared" si="30"/>
        <v>2024-10</v>
      </c>
      <c r="J445" s="5" t="str">
        <f t="shared" si="31"/>
        <v>Standard</v>
      </c>
      <c r="K445" s="5" t="str">
        <f t="shared" si="32"/>
        <v>Low</v>
      </c>
      <c r="L445" s="5" t="str">
        <f t="shared" si="33"/>
        <v>No</v>
      </c>
      <c r="M445" s="5" t="str">
        <f t="shared" si="34"/>
        <v>Attention Needed</v>
      </c>
      <c r="N445" s="3">
        <f>_xlfn.XLOOKUP(B445, Properties!A:A, Properties!D:D, FALSE)</f>
        <v>56712</v>
      </c>
    </row>
    <row r="446" spans="1:14" x14ac:dyDescent="0.3">
      <c r="A446">
        <v>247</v>
      </c>
      <c r="B446">
        <v>148</v>
      </c>
      <c r="C446">
        <v>6</v>
      </c>
      <c r="D446" s="3">
        <v>61018</v>
      </c>
      <c r="E446" t="s">
        <v>256</v>
      </c>
      <c r="F446" s="1" t="s">
        <v>142</v>
      </c>
      <c r="G446" t="str">
        <f>_xlfn.XLOOKUP(B446, Properties!A:A, Properties!B:B, FALSE)</f>
        <v>Becej</v>
      </c>
      <c r="H446" t="str">
        <f>_xlfn.XLOOKUP(C446, Agents!A:A, Agents!B:B, FALSE)</f>
        <v>Marko Jovic</v>
      </c>
      <c r="I446" t="str">
        <f t="shared" si="30"/>
        <v>2025-04</v>
      </c>
      <c r="J446" s="5" t="str">
        <f t="shared" si="31"/>
        <v>Standard</v>
      </c>
      <c r="K446" s="5" t="str">
        <f t="shared" si="32"/>
        <v>Low</v>
      </c>
      <c r="L446" s="5" t="str">
        <f t="shared" si="33"/>
        <v>No</v>
      </c>
      <c r="M446" s="5" t="str">
        <f t="shared" si="34"/>
        <v>Attention Needed</v>
      </c>
      <c r="N446" s="3">
        <f>_xlfn.XLOOKUP(B446, Properties!A:A, Properties!D:D, FALSE)</f>
        <v>134766</v>
      </c>
    </row>
    <row r="447" spans="1:14" x14ac:dyDescent="0.3">
      <c r="A447">
        <v>274</v>
      </c>
      <c r="B447">
        <v>263</v>
      </c>
      <c r="C447">
        <v>7</v>
      </c>
      <c r="D447" s="3">
        <v>60270</v>
      </c>
      <c r="E447" t="s">
        <v>256</v>
      </c>
      <c r="F447" s="1" t="s">
        <v>356</v>
      </c>
      <c r="G447" t="str">
        <f>_xlfn.XLOOKUP(B447, Properties!A:A, Properties!B:B, FALSE)</f>
        <v>Subotica</v>
      </c>
      <c r="H447" t="str">
        <f>_xlfn.XLOOKUP(C447, Agents!A:A, Agents!B:B, FALSE)</f>
        <v>Ana Markovic</v>
      </c>
      <c r="I447" t="str">
        <f t="shared" si="30"/>
        <v>2024-10</v>
      </c>
      <c r="J447" s="5" t="str">
        <f t="shared" si="31"/>
        <v>Standard</v>
      </c>
      <c r="K447" s="5" t="str">
        <f t="shared" si="32"/>
        <v>Low</v>
      </c>
      <c r="L447" s="5" t="str">
        <f t="shared" si="33"/>
        <v>No</v>
      </c>
      <c r="M447" s="5" t="str">
        <f t="shared" si="34"/>
        <v>Attention Needed</v>
      </c>
      <c r="N447" s="3">
        <f>_xlfn.XLOOKUP(B447, Properties!A:A, Properties!D:D, FALSE)</f>
        <v>114744</v>
      </c>
    </row>
    <row r="448" spans="1:14" x14ac:dyDescent="0.3">
      <c r="A448">
        <v>94</v>
      </c>
      <c r="B448">
        <v>227</v>
      </c>
      <c r="C448">
        <v>5</v>
      </c>
      <c r="D448" s="3">
        <v>59450</v>
      </c>
      <c r="E448" t="s">
        <v>256</v>
      </c>
      <c r="F448" s="1" t="s">
        <v>292</v>
      </c>
      <c r="G448" t="str">
        <f>_xlfn.XLOOKUP(B448, Properties!A:A, Properties!B:B, FALSE)</f>
        <v>Belgrade</v>
      </c>
      <c r="H448" t="str">
        <f>_xlfn.XLOOKUP(C448, Agents!A:A, Agents!B:B, FALSE)</f>
        <v>Mina Lukic</v>
      </c>
      <c r="I448" t="str">
        <f t="shared" si="30"/>
        <v>2024-06</v>
      </c>
      <c r="J448" s="5" t="str">
        <f t="shared" si="31"/>
        <v>Standard</v>
      </c>
      <c r="K448" s="5" t="str">
        <f t="shared" si="32"/>
        <v>Low</v>
      </c>
      <c r="L448" s="5" t="str">
        <f t="shared" si="33"/>
        <v>No</v>
      </c>
      <c r="M448" s="5" t="str">
        <f t="shared" si="34"/>
        <v>Attention Needed</v>
      </c>
      <c r="N448" s="3">
        <f>_xlfn.XLOOKUP(B448, Properties!A:A, Properties!D:D, FALSE)</f>
        <v>153049</v>
      </c>
    </row>
    <row r="449" spans="1:14" x14ac:dyDescent="0.3">
      <c r="A449">
        <v>184</v>
      </c>
      <c r="B449">
        <v>67</v>
      </c>
      <c r="C449">
        <v>7</v>
      </c>
      <c r="D449" s="3">
        <v>59052</v>
      </c>
      <c r="E449" t="s">
        <v>257</v>
      </c>
      <c r="F449" s="1" t="s">
        <v>290</v>
      </c>
      <c r="G449" t="str">
        <f>_xlfn.XLOOKUP(B449, Properties!A:A, Properties!B:B, FALSE)</f>
        <v>Novi Sad</v>
      </c>
      <c r="H449" t="str">
        <f>_xlfn.XLOOKUP(C449, Agents!A:A, Agents!B:B, FALSE)</f>
        <v>Ana Markovic</v>
      </c>
      <c r="I449" t="str">
        <f t="shared" si="30"/>
        <v>2025-03</v>
      </c>
      <c r="J449" s="5" t="str">
        <f t="shared" si="31"/>
        <v>Standard</v>
      </c>
      <c r="K449" s="5" t="str">
        <f t="shared" si="32"/>
        <v>Low</v>
      </c>
      <c r="L449" s="5" t="str">
        <f t="shared" si="33"/>
        <v>No</v>
      </c>
      <c r="M449" s="5" t="str">
        <f t="shared" si="34"/>
        <v>Attention Needed</v>
      </c>
      <c r="N449" s="3">
        <f>_xlfn.XLOOKUP(B449, Properties!A:A, Properties!D:D, FALSE)</f>
        <v>66747</v>
      </c>
    </row>
    <row r="450" spans="1:14" x14ac:dyDescent="0.3">
      <c r="A450">
        <v>466</v>
      </c>
      <c r="B450">
        <v>223</v>
      </c>
      <c r="C450">
        <v>2</v>
      </c>
      <c r="D450" s="3">
        <v>58850</v>
      </c>
      <c r="E450" t="s">
        <v>256</v>
      </c>
      <c r="F450" s="1" t="s">
        <v>127</v>
      </c>
      <c r="G450" t="str">
        <f>_xlfn.XLOOKUP(B450, Properties!A:A, Properties!B:B, FALSE)</f>
        <v>Novi Sad</v>
      </c>
      <c r="H450" t="str">
        <f>_xlfn.XLOOKUP(C450, Agents!A:A, Agents!B:B, FALSE)</f>
        <v>Jelena Petrovic</v>
      </c>
      <c r="I450" t="str">
        <f t="shared" ref="I450:I501" si="35">TEXT(F450, "YYYY-MM")</f>
        <v>2024-06</v>
      </c>
      <c r="J450" s="5" t="str">
        <f t="shared" ref="J450:J501" si="36">IF(D450&gt;200000, "Luxury", "Standard")</f>
        <v>Standard</v>
      </c>
      <c r="K450" s="5" t="str">
        <f t="shared" ref="K450:K501" si="37">IF(D450&gt;250000, "High", IF(D450&gt;150000, "Medium", "Low"))</f>
        <v>Low</v>
      </c>
      <c r="L450" s="5" t="str">
        <f t="shared" ref="L450:L501" si="38">IF(AND(E450="Sold", D450&gt;200000), "Yes", "No")</f>
        <v>No</v>
      </c>
      <c r="M450" s="5" t="str">
        <f t="shared" ref="M450:M501" si="39">IF(OR(E450="Pending", E450="Cancelled"), "Attention Needed", "Ok")</f>
        <v>Attention Needed</v>
      </c>
      <c r="N450" s="3">
        <f>_xlfn.XLOOKUP(B450, Properties!A:A, Properties!D:D, FALSE)</f>
        <v>33708</v>
      </c>
    </row>
    <row r="451" spans="1:14" x14ac:dyDescent="0.3">
      <c r="A451">
        <v>75</v>
      </c>
      <c r="B451">
        <v>113</v>
      </c>
      <c r="C451">
        <v>7</v>
      </c>
      <c r="D451" s="3">
        <v>58721</v>
      </c>
      <c r="E451" t="s">
        <v>257</v>
      </c>
      <c r="F451" s="1" t="s">
        <v>287</v>
      </c>
      <c r="G451" t="str">
        <f>_xlfn.XLOOKUP(B451, Properties!A:A, Properties!B:B, FALSE)</f>
        <v>Novi Sad</v>
      </c>
      <c r="H451" t="str">
        <f>_xlfn.XLOOKUP(C451, Agents!A:A, Agents!B:B, FALSE)</f>
        <v>Ana Markovic</v>
      </c>
      <c r="I451" t="str">
        <f t="shared" si="35"/>
        <v>2024-01</v>
      </c>
      <c r="J451" s="5" t="str">
        <f t="shared" si="36"/>
        <v>Standard</v>
      </c>
      <c r="K451" s="5" t="str">
        <f t="shared" si="37"/>
        <v>Low</v>
      </c>
      <c r="L451" s="5" t="str">
        <f t="shared" si="38"/>
        <v>No</v>
      </c>
      <c r="M451" s="5" t="str">
        <f t="shared" si="39"/>
        <v>Attention Needed</v>
      </c>
      <c r="N451" s="3">
        <f>_xlfn.XLOOKUP(B451, Properties!A:A, Properties!D:D, FALSE)</f>
        <v>72598</v>
      </c>
    </row>
    <row r="452" spans="1:14" x14ac:dyDescent="0.3">
      <c r="A452">
        <v>453</v>
      </c>
      <c r="B452">
        <v>201</v>
      </c>
      <c r="C452">
        <v>5</v>
      </c>
      <c r="D452" s="3">
        <v>58609</v>
      </c>
      <c r="E452" t="s">
        <v>257</v>
      </c>
      <c r="F452" s="1" t="s">
        <v>68</v>
      </c>
      <c r="G452" t="str">
        <f>_xlfn.XLOOKUP(B452, Properties!A:A, Properties!B:B, FALSE)</f>
        <v>Novi Sad</v>
      </c>
      <c r="H452" t="str">
        <f>_xlfn.XLOOKUP(C452, Agents!A:A, Agents!B:B, FALSE)</f>
        <v>Mina Lukic</v>
      </c>
      <c r="I452" t="str">
        <f t="shared" si="35"/>
        <v>2025-02</v>
      </c>
      <c r="J452" s="5" t="str">
        <f t="shared" si="36"/>
        <v>Standard</v>
      </c>
      <c r="K452" s="5" t="str">
        <f t="shared" si="37"/>
        <v>Low</v>
      </c>
      <c r="L452" s="5" t="str">
        <f t="shared" si="38"/>
        <v>No</v>
      </c>
      <c r="M452" s="5" t="str">
        <f t="shared" si="39"/>
        <v>Attention Needed</v>
      </c>
      <c r="N452" s="3">
        <f>_xlfn.XLOOKUP(B452, Properties!A:A, Properties!D:D, FALSE)</f>
        <v>103119</v>
      </c>
    </row>
    <row r="453" spans="1:14" x14ac:dyDescent="0.3">
      <c r="A453">
        <v>58</v>
      </c>
      <c r="B453">
        <v>182</v>
      </c>
      <c r="C453">
        <v>7</v>
      </c>
      <c r="D453" s="3">
        <v>56972</v>
      </c>
      <c r="E453" t="s">
        <v>257</v>
      </c>
      <c r="F453" s="1" t="s">
        <v>279</v>
      </c>
      <c r="G453" t="str">
        <f>_xlfn.XLOOKUP(B453, Properties!A:A, Properties!B:B, FALSE)</f>
        <v>Belgrade</v>
      </c>
      <c r="H453" t="str">
        <f>_xlfn.XLOOKUP(C453, Agents!A:A, Agents!B:B, FALSE)</f>
        <v>Ana Markovic</v>
      </c>
      <c r="I453" t="str">
        <f t="shared" si="35"/>
        <v>2025-05</v>
      </c>
      <c r="J453" s="5" t="str">
        <f t="shared" si="36"/>
        <v>Standard</v>
      </c>
      <c r="K453" s="5" t="str">
        <f t="shared" si="37"/>
        <v>Low</v>
      </c>
      <c r="L453" s="5" t="str">
        <f t="shared" si="38"/>
        <v>No</v>
      </c>
      <c r="M453" s="5" t="str">
        <f t="shared" si="39"/>
        <v>Attention Needed</v>
      </c>
      <c r="N453" s="3">
        <f>_xlfn.XLOOKUP(B453, Properties!A:A, Properties!D:D, FALSE)</f>
        <v>227717</v>
      </c>
    </row>
    <row r="454" spans="1:14" x14ac:dyDescent="0.3">
      <c r="A454">
        <v>224</v>
      </c>
      <c r="B454">
        <v>297</v>
      </c>
      <c r="C454">
        <v>10</v>
      </c>
      <c r="D454" s="3">
        <v>56924</v>
      </c>
      <c r="E454" t="s">
        <v>259</v>
      </c>
      <c r="F454" s="1" t="s">
        <v>351</v>
      </c>
      <c r="G454" t="str">
        <f>_xlfn.XLOOKUP(B454, Properties!A:A, Properties!B:B, FALSE)</f>
        <v>Novi Sad</v>
      </c>
      <c r="H454" t="str">
        <f>_xlfn.XLOOKUP(C454, Agents!A:A, Agents!B:B, FALSE)</f>
        <v>Marko Jovic</v>
      </c>
      <c r="I454" t="str">
        <f t="shared" si="35"/>
        <v>2024-10</v>
      </c>
      <c r="J454" s="5" t="str">
        <f t="shared" si="36"/>
        <v>Standard</v>
      </c>
      <c r="K454" s="5" t="str">
        <f t="shared" si="37"/>
        <v>Low</v>
      </c>
      <c r="L454" s="5" t="str">
        <f t="shared" si="38"/>
        <v>No</v>
      </c>
      <c r="M454" s="5" t="str">
        <f t="shared" si="39"/>
        <v>Ok</v>
      </c>
      <c r="N454" s="3">
        <f>_xlfn.XLOOKUP(B454, Properties!A:A, Properties!D:D, FALSE)</f>
        <v>89634</v>
      </c>
    </row>
    <row r="455" spans="1:14" x14ac:dyDescent="0.3">
      <c r="A455">
        <v>201</v>
      </c>
      <c r="B455">
        <v>127</v>
      </c>
      <c r="C455">
        <v>3</v>
      </c>
      <c r="D455" s="3">
        <v>56531</v>
      </c>
      <c r="E455" t="s">
        <v>259</v>
      </c>
      <c r="F455" s="1" t="s">
        <v>342</v>
      </c>
      <c r="G455" t="str">
        <f>_xlfn.XLOOKUP(B455, Properties!A:A, Properties!B:B, FALSE)</f>
        <v>Becej</v>
      </c>
      <c r="H455" t="str">
        <f>_xlfn.XLOOKUP(C455, Agents!A:A, Agents!B:B, FALSE)</f>
        <v>Ivan Stankovic</v>
      </c>
      <c r="I455" t="str">
        <f t="shared" si="35"/>
        <v>2024-05</v>
      </c>
      <c r="J455" s="5" t="str">
        <f t="shared" si="36"/>
        <v>Standard</v>
      </c>
      <c r="K455" s="5" t="str">
        <f t="shared" si="37"/>
        <v>Low</v>
      </c>
      <c r="L455" s="5" t="str">
        <f t="shared" si="38"/>
        <v>No</v>
      </c>
      <c r="M455" s="5" t="str">
        <f t="shared" si="39"/>
        <v>Ok</v>
      </c>
      <c r="N455" s="3">
        <f>_xlfn.XLOOKUP(B455, Properties!A:A, Properties!D:D, FALSE)</f>
        <v>220983</v>
      </c>
    </row>
    <row r="456" spans="1:14" x14ac:dyDescent="0.3">
      <c r="A456">
        <v>207</v>
      </c>
      <c r="B456">
        <v>299</v>
      </c>
      <c r="C456">
        <v>6</v>
      </c>
      <c r="D456" s="3">
        <v>56497</v>
      </c>
      <c r="E456" t="s">
        <v>259</v>
      </c>
      <c r="F456" s="1" t="s">
        <v>100</v>
      </c>
      <c r="G456" t="str">
        <f>_xlfn.XLOOKUP(B456, Properties!A:A, Properties!B:B, FALSE)</f>
        <v>Belgrade</v>
      </c>
      <c r="H456" t="str">
        <f>_xlfn.XLOOKUP(C456, Agents!A:A, Agents!B:B, FALSE)</f>
        <v>Marko Jovic</v>
      </c>
      <c r="I456" t="str">
        <f t="shared" si="35"/>
        <v>2024-05</v>
      </c>
      <c r="J456" s="5" t="str">
        <f t="shared" si="36"/>
        <v>Standard</v>
      </c>
      <c r="K456" s="5" t="str">
        <f t="shared" si="37"/>
        <v>Low</v>
      </c>
      <c r="L456" s="5" t="str">
        <f t="shared" si="38"/>
        <v>No</v>
      </c>
      <c r="M456" s="5" t="str">
        <f t="shared" si="39"/>
        <v>Ok</v>
      </c>
      <c r="N456" s="3">
        <f>_xlfn.XLOOKUP(B456, Properties!A:A, Properties!D:D, FALSE)</f>
        <v>73611</v>
      </c>
    </row>
    <row r="457" spans="1:14" x14ac:dyDescent="0.3">
      <c r="A457">
        <v>70</v>
      </c>
      <c r="B457">
        <v>27</v>
      </c>
      <c r="C457">
        <v>3</v>
      </c>
      <c r="D457" s="3">
        <v>56089</v>
      </c>
      <c r="E457" t="s">
        <v>259</v>
      </c>
      <c r="F457" s="1" t="s">
        <v>285</v>
      </c>
      <c r="G457" t="str">
        <f>_xlfn.XLOOKUP(B457, Properties!A:A, Properties!B:B, FALSE)</f>
        <v>Becej</v>
      </c>
      <c r="H457" t="str">
        <f>_xlfn.XLOOKUP(C457, Agents!A:A, Agents!B:B, FALSE)</f>
        <v>Ivan Stankovic</v>
      </c>
      <c r="I457" t="str">
        <f t="shared" si="35"/>
        <v>2024-12</v>
      </c>
      <c r="J457" s="5" t="str">
        <f t="shared" si="36"/>
        <v>Standard</v>
      </c>
      <c r="K457" s="5" t="str">
        <f t="shared" si="37"/>
        <v>Low</v>
      </c>
      <c r="L457" s="5" t="str">
        <f t="shared" si="38"/>
        <v>No</v>
      </c>
      <c r="M457" s="5" t="str">
        <f t="shared" si="39"/>
        <v>Ok</v>
      </c>
      <c r="N457" s="3">
        <f>_xlfn.XLOOKUP(B457, Properties!A:A, Properties!D:D, FALSE)</f>
        <v>198519</v>
      </c>
    </row>
    <row r="458" spans="1:14" x14ac:dyDescent="0.3">
      <c r="A458">
        <v>8</v>
      </c>
      <c r="B458">
        <v>5</v>
      </c>
      <c r="C458">
        <v>10</v>
      </c>
      <c r="D458" s="3">
        <v>55713</v>
      </c>
      <c r="E458" t="s">
        <v>257</v>
      </c>
      <c r="F458" s="1" t="s">
        <v>234</v>
      </c>
      <c r="G458" t="str">
        <f>_xlfn.XLOOKUP(B458, Properties!A:A, Properties!B:B, FALSE)</f>
        <v>Novi Sad</v>
      </c>
      <c r="H458" t="str">
        <f>_xlfn.XLOOKUP(C458, Agents!A:A, Agents!B:B, FALSE)</f>
        <v>Marko Jovic</v>
      </c>
      <c r="I458" t="str">
        <f t="shared" si="35"/>
        <v>2025-04</v>
      </c>
      <c r="J458" s="5" t="str">
        <f t="shared" si="36"/>
        <v>Standard</v>
      </c>
      <c r="K458" s="5" t="str">
        <f t="shared" si="37"/>
        <v>Low</v>
      </c>
      <c r="L458" s="5" t="str">
        <f t="shared" si="38"/>
        <v>No</v>
      </c>
      <c r="M458" s="5" t="str">
        <f t="shared" si="39"/>
        <v>Attention Needed</v>
      </c>
      <c r="N458" s="3">
        <f>_xlfn.XLOOKUP(B458, Properties!A:A, Properties!D:D, FALSE)</f>
        <v>177127</v>
      </c>
    </row>
    <row r="459" spans="1:14" x14ac:dyDescent="0.3">
      <c r="A459">
        <v>431</v>
      </c>
      <c r="B459">
        <v>249</v>
      </c>
      <c r="C459">
        <v>6</v>
      </c>
      <c r="D459" s="3">
        <v>55380</v>
      </c>
      <c r="E459" t="s">
        <v>257</v>
      </c>
      <c r="F459" s="1" t="s">
        <v>135</v>
      </c>
      <c r="G459" t="str">
        <f>_xlfn.XLOOKUP(B459, Properties!A:A, Properties!B:B, FALSE)</f>
        <v>Nis</v>
      </c>
      <c r="H459" t="str">
        <f>_xlfn.XLOOKUP(C459, Agents!A:A, Agents!B:B, FALSE)</f>
        <v>Marko Jovic</v>
      </c>
      <c r="I459" t="str">
        <f t="shared" si="35"/>
        <v>2024-01</v>
      </c>
      <c r="J459" s="5" t="str">
        <f t="shared" si="36"/>
        <v>Standard</v>
      </c>
      <c r="K459" s="5" t="str">
        <f t="shared" si="37"/>
        <v>Low</v>
      </c>
      <c r="L459" s="5" t="str">
        <f t="shared" si="38"/>
        <v>No</v>
      </c>
      <c r="M459" s="5" t="str">
        <f t="shared" si="39"/>
        <v>Attention Needed</v>
      </c>
      <c r="N459" s="3">
        <f>_xlfn.XLOOKUP(B459, Properties!A:A, Properties!D:D, FALSE)</f>
        <v>145121</v>
      </c>
    </row>
    <row r="460" spans="1:14" x14ac:dyDescent="0.3">
      <c r="A460">
        <v>152</v>
      </c>
      <c r="B460">
        <v>98</v>
      </c>
      <c r="C460">
        <v>5</v>
      </c>
      <c r="D460" s="3">
        <v>55063</v>
      </c>
      <c r="E460" t="s">
        <v>256</v>
      </c>
      <c r="F460" s="1" t="s">
        <v>28</v>
      </c>
      <c r="G460" t="str">
        <f>_xlfn.XLOOKUP(B460, Properties!A:A, Properties!B:B, FALSE)</f>
        <v>Novi Sad</v>
      </c>
      <c r="H460" t="str">
        <f>_xlfn.XLOOKUP(C460, Agents!A:A, Agents!B:B, FALSE)</f>
        <v>Mina Lukic</v>
      </c>
      <c r="I460" t="str">
        <f t="shared" si="35"/>
        <v>2025-03</v>
      </c>
      <c r="J460" s="5" t="str">
        <f t="shared" si="36"/>
        <v>Standard</v>
      </c>
      <c r="K460" s="5" t="str">
        <f t="shared" si="37"/>
        <v>Low</v>
      </c>
      <c r="L460" s="5" t="str">
        <f t="shared" si="38"/>
        <v>No</v>
      </c>
      <c r="M460" s="5" t="str">
        <f t="shared" si="39"/>
        <v>Attention Needed</v>
      </c>
      <c r="N460" s="3">
        <f>_xlfn.XLOOKUP(B460, Properties!A:A, Properties!D:D, FALSE)</f>
        <v>60258</v>
      </c>
    </row>
    <row r="461" spans="1:14" x14ac:dyDescent="0.3">
      <c r="A461">
        <v>295</v>
      </c>
      <c r="B461">
        <v>219</v>
      </c>
      <c r="C461">
        <v>9</v>
      </c>
      <c r="D461" s="3">
        <v>54580</v>
      </c>
      <c r="E461" t="s">
        <v>256</v>
      </c>
      <c r="F461" s="1" t="s">
        <v>373</v>
      </c>
      <c r="G461" t="str">
        <f>_xlfn.XLOOKUP(B461, Properties!A:A, Properties!B:B, FALSE)</f>
        <v>Nis</v>
      </c>
      <c r="H461" t="str">
        <f>_xlfn.XLOOKUP(C461, Agents!A:A, Agents!B:B, FALSE)</f>
        <v>Ivan Stankovic</v>
      </c>
      <c r="I461" t="str">
        <f t="shared" si="35"/>
        <v>2025-05</v>
      </c>
      <c r="J461" s="5" t="str">
        <f t="shared" si="36"/>
        <v>Standard</v>
      </c>
      <c r="K461" s="5" t="str">
        <f t="shared" si="37"/>
        <v>Low</v>
      </c>
      <c r="L461" s="5" t="str">
        <f t="shared" si="38"/>
        <v>No</v>
      </c>
      <c r="M461" s="5" t="str">
        <f t="shared" si="39"/>
        <v>Attention Needed</v>
      </c>
      <c r="N461" s="3">
        <f>_xlfn.XLOOKUP(B461, Properties!A:A, Properties!D:D, FALSE)</f>
        <v>80211</v>
      </c>
    </row>
    <row r="462" spans="1:14" x14ac:dyDescent="0.3">
      <c r="A462">
        <v>480</v>
      </c>
      <c r="B462">
        <v>27</v>
      </c>
      <c r="C462">
        <v>3</v>
      </c>
      <c r="D462" s="3">
        <v>54079</v>
      </c>
      <c r="E462" t="s">
        <v>259</v>
      </c>
      <c r="F462" s="1" t="s">
        <v>49</v>
      </c>
      <c r="G462" t="str">
        <f>_xlfn.XLOOKUP(B462, Properties!A:A, Properties!B:B, FALSE)</f>
        <v>Becej</v>
      </c>
      <c r="H462" t="str">
        <f>_xlfn.XLOOKUP(C462, Agents!A:A, Agents!B:B, FALSE)</f>
        <v>Ivan Stankovic</v>
      </c>
      <c r="I462" t="str">
        <f t="shared" si="35"/>
        <v>2025-05</v>
      </c>
      <c r="J462" s="5" t="str">
        <f t="shared" si="36"/>
        <v>Standard</v>
      </c>
      <c r="K462" s="5" t="str">
        <f t="shared" si="37"/>
        <v>Low</v>
      </c>
      <c r="L462" s="5" t="str">
        <f t="shared" si="38"/>
        <v>No</v>
      </c>
      <c r="M462" s="5" t="str">
        <f t="shared" si="39"/>
        <v>Ok</v>
      </c>
      <c r="N462" s="3">
        <f>_xlfn.XLOOKUP(B462, Properties!A:A, Properties!D:D, FALSE)</f>
        <v>198519</v>
      </c>
    </row>
    <row r="463" spans="1:14" x14ac:dyDescent="0.3">
      <c r="A463">
        <v>375</v>
      </c>
      <c r="B463">
        <v>128</v>
      </c>
      <c r="C463">
        <v>6</v>
      </c>
      <c r="D463" s="3">
        <v>53224</v>
      </c>
      <c r="E463" t="s">
        <v>259</v>
      </c>
      <c r="F463" s="1" t="s">
        <v>386</v>
      </c>
      <c r="G463" t="str">
        <f>_xlfn.XLOOKUP(B463, Properties!A:A, Properties!B:B, FALSE)</f>
        <v>Subotica</v>
      </c>
      <c r="H463" t="str">
        <f>_xlfn.XLOOKUP(C463, Agents!A:A, Agents!B:B, FALSE)</f>
        <v>Marko Jovic</v>
      </c>
      <c r="I463" t="str">
        <f t="shared" si="35"/>
        <v>2024-10</v>
      </c>
      <c r="J463" s="5" t="str">
        <f t="shared" si="36"/>
        <v>Standard</v>
      </c>
      <c r="K463" s="5" t="str">
        <f t="shared" si="37"/>
        <v>Low</v>
      </c>
      <c r="L463" s="5" t="str">
        <f t="shared" si="38"/>
        <v>No</v>
      </c>
      <c r="M463" s="5" t="str">
        <f t="shared" si="39"/>
        <v>Ok</v>
      </c>
      <c r="N463" s="3">
        <f>_xlfn.XLOOKUP(B463, Properties!A:A, Properties!D:D, FALSE)</f>
        <v>188914</v>
      </c>
    </row>
    <row r="464" spans="1:14" x14ac:dyDescent="0.3">
      <c r="A464">
        <v>289</v>
      </c>
      <c r="B464">
        <v>25</v>
      </c>
      <c r="C464">
        <v>4</v>
      </c>
      <c r="D464" s="3">
        <v>53192</v>
      </c>
      <c r="E464" t="s">
        <v>257</v>
      </c>
      <c r="F464" s="1" t="s">
        <v>347</v>
      </c>
      <c r="G464" t="str">
        <f>_xlfn.XLOOKUP(B464, Properties!A:A, Properties!B:B, FALSE)</f>
        <v>Subotica</v>
      </c>
      <c r="H464" t="str">
        <f>_xlfn.XLOOKUP(C464, Agents!A:A, Agents!B:B, FALSE)</f>
        <v>Marko Jovic</v>
      </c>
      <c r="I464" t="str">
        <f t="shared" si="35"/>
        <v>2024-07</v>
      </c>
      <c r="J464" s="5" t="str">
        <f t="shared" si="36"/>
        <v>Standard</v>
      </c>
      <c r="K464" s="5" t="str">
        <f t="shared" si="37"/>
        <v>Low</v>
      </c>
      <c r="L464" s="5" t="str">
        <f t="shared" si="38"/>
        <v>No</v>
      </c>
      <c r="M464" s="5" t="str">
        <f t="shared" si="39"/>
        <v>Attention Needed</v>
      </c>
      <c r="N464" s="3">
        <f>_xlfn.XLOOKUP(B464, Properties!A:A, Properties!D:D, FALSE)</f>
        <v>100186</v>
      </c>
    </row>
    <row r="465" spans="1:14" x14ac:dyDescent="0.3">
      <c r="A465">
        <v>43</v>
      </c>
      <c r="B465">
        <v>258</v>
      </c>
      <c r="C465">
        <v>4</v>
      </c>
      <c r="D465" s="3">
        <v>52735</v>
      </c>
      <c r="E465" t="s">
        <v>257</v>
      </c>
      <c r="F465" s="1" t="s">
        <v>71</v>
      </c>
      <c r="G465" t="str">
        <f>_xlfn.XLOOKUP(B465, Properties!A:A, Properties!B:B, FALSE)</f>
        <v>Becej</v>
      </c>
      <c r="H465" t="str">
        <f>_xlfn.XLOOKUP(C465, Agents!A:A, Agents!B:B, FALSE)</f>
        <v>Marko Jovic</v>
      </c>
      <c r="I465" t="str">
        <f t="shared" si="35"/>
        <v>2025-01</v>
      </c>
      <c r="J465" s="5" t="str">
        <f t="shared" si="36"/>
        <v>Standard</v>
      </c>
      <c r="K465" s="5" t="str">
        <f t="shared" si="37"/>
        <v>Low</v>
      </c>
      <c r="L465" s="5" t="str">
        <f t="shared" si="38"/>
        <v>No</v>
      </c>
      <c r="M465" s="5" t="str">
        <f t="shared" si="39"/>
        <v>Attention Needed</v>
      </c>
      <c r="N465" s="3">
        <f>_xlfn.XLOOKUP(B465, Properties!A:A, Properties!D:D, FALSE)</f>
        <v>53918</v>
      </c>
    </row>
    <row r="466" spans="1:14" x14ac:dyDescent="0.3">
      <c r="A466">
        <v>334</v>
      </c>
      <c r="B466">
        <v>170</v>
      </c>
      <c r="C466">
        <v>10</v>
      </c>
      <c r="D466" s="3">
        <v>52309</v>
      </c>
      <c r="E466" t="s">
        <v>259</v>
      </c>
      <c r="F466" s="1" t="s">
        <v>385</v>
      </c>
      <c r="G466" t="str">
        <f>_xlfn.XLOOKUP(B466, Properties!A:A, Properties!B:B, FALSE)</f>
        <v>Subotica</v>
      </c>
      <c r="H466" t="str">
        <f>_xlfn.XLOOKUP(C466, Agents!A:A, Agents!B:B, FALSE)</f>
        <v>Marko Jovic</v>
      </c>
      <c r="I466" t="str">
        <f t="shared" si="35"/>
        <v>2024-04</v>
      </c>
      <c r="J466" s="5" t="str">
        <f t="shared" si="36"/>
        <v>Standard</v>
      </c>
      <c r="K466" s="5" t="str">
        <f t="shared" si="37"/>
        <v>Low</v>
      </c>
      <c r="L466" s="5" t="str">
        <f t="shared" si="38"/>
        <v>No</v>
      </c>
      <c r="M466" s="5" t="str">
        <f t="shared" si="39"/>
        <v>Ok</v>
      </c>
      <c r="N466" s="3">
        <f>_xlfn.XLOOKUP(B466, Properties!A:A, Properties!D:D, FALSE)</f>
        <v>157308</v>
      </c>
    </row>
    <row r="467" spans="1:14" x14ac:dyDescent="0.3">
      <c r="A467">
        <v>160</v>
      </c>
      <c r="B467">
        <v>228</v>
      </c>
      <c r="C467">
        <v>6</v>
      </c>
      <c r="D467" s="3">
        <v>52206</v>
      </c>
      <c r="E467" t="s">
        <v>256</v>
      </c>
      <c r="F467" s="1" t="s">
        <v>71</v>
      </c>
      <c r="G467" t="str">
        <f>_xlfn.XLOOKUP(B467, Properties!A:A, Properties!B:B, FALSE)</f>
        <v>Becej</v>
      </c>
      <c r="H467" t="str">
        <f>_xlfn.XLOOKUP(C467, Agents!A:A, Agents!B:B, FALSE)</f>
        <v>Marko Jovic</v>
      </c>
      <c r="I467" t="str">
        <f t="shared" si="35"/>
        <v>2025-01</v>
      </c>
      <c r="J467" s="5" t="str">
        <f t="shared" si="36"/>
        <v>Standard</v>
      </c>
      <c r="K467" s="5" t="str">
        <f t="shared" si="37"/>
        <v>Low</v>
      </c>
      <c r="L467" s="5" t="str">
        <f t="shared" si="38"/>
        <v>No</v>
      </c>
      <c r="M467" s="5" t="str">
        <f t="shared" si="39"/>
        <v>Attention Needed</v>
      </c>
      <c r="N467" s="3">
        <f>_xlfn.XLOOKUP(B467, Properties!A:A, Properties!D:D, FALSE)</f>
        <v>78329</v>
      </c>
    </row>
    <row r="468" spans="1:14" x14ac:dyDescent="0.3">
      <c r="A468">
        <v>98</v>
      </c>
      <c r="B468">
        <v>237</v>
      </c>
      <c r="C468">
        <v>10</v>
      </c>
      <c r="D468" s="3">
        <v>51507</v>
      </c>
      <c r="E468" t="s">
        <v>257</v>
      </c>
      <c r="F468" s="1" t="s">
        <v>295</v>
      </c>
      <c r="G468" t="str">
        <f>_xlfn.XLOOKUP(B468, Properties!A:A, Properties!B:B, FALSE)</f>
        <v>Nis</v>
      </c>
      <c r="H468" t="str">
        <f>_xlfn.XLOOKUP(C468, Agents!A:A, Agents!B:B, FALSE)</f>
        <v>Marko Jovic</v>
      </c>
      <c r="I468" t="str">
        <f t="shared" si="35"/>
        <v>2024-08</v>
      </c>
      <c r="J468" s="5" t="str">
        <f t="shared" si="36"/>
        <v>Standard</v>
      </c>
      <c r="K468" s="5" t="str">
        <f t="shared" si="37"/>
        <v>Low</v>
      </c>
      <c r="L468" s="5" t="str">
        <f t="shared" si="38"/>
        <v>No</v>
      </c>
      <c r="M468" s="5" t="str">
        <f t="shared" si="39"/>
        <v>Attention Needed</v>
      </c>
      <c r="N468" s="3">
        <f>_xlfn.XLOOKUP(B468, Properties!A:A, Properties!D:D, FALSE)</f>
        <v>189811</v>
      </c>
    </row>
    <row r="469" spans="1:14" x14ac:dyDescent="0.3">
      <c r="A469">
        <v>216</v>
      </c>
      <c r="B469">
        <v>257</v>
      </c>
      <c r="C469">
        <v>1</v>
      </c>
      <c r="D469" s="3">
        <v>50402</v>
      </c>
      <c r="E469" t="s">
        <v>259</v>
      </c>
      <c r="F469" s="1" t="s">
        <v>348</v>
      </c>
      <c r="G469" t="str">
        <f>_xlfn.XLOOKUP(B469, Properties!A:A, Properties!B:B, FALSE)</f>
        <v>Becej</v>
      </c>
      <c r="H469" t="str">
        <f>_xlfn.XLOOKUP(C469, Agents!A:A, Agents!B:B, FALSE)</f>
        <v>Ana Markovic</v>
      </c>
      <c r="I469" t="str">
        <f t="shared" si="35"/>
        <v>2024-03</v>
      </c>
      <c r="J469" s="5" t="str">
        <f t="shared" si="36"/>
        <v>Standard</v>
      </c>
      <c r="K469" s="5" t="str">
        <f t="shared" si="37"/>
        <v>Low</v>
      </c>
      <c r="L469" s="5" t="str">
        <f t="shared" si="38"/>
        <v>No</v>
      </c>
      <c r="M469" s="5" t="str">
        <f t="shared" si="39"/>
        <v>Ok</v>
      </c>
      <c r="N469" s="3">
        <f>_xlfn.XLOOKUP(B469, Properties!A:A, Properties!D:D, FALSE)</f>
        <v>77576</v>
      </c>
    </row>
    <row r="470" spans="1:14" x14ac:dyDescent="0.3">
      <c r="A470">
        <v>114</v>
      </c>
      <c r="B470">
        <v>52</v>
      </c>
      <c r="C470">
        <v>9</v>
      </c>
      <c r="D470" s="3">
        <v>49790</v>
      </c>
      <c r="E470" t="s">
        <v>257</v>
      </c>
      <c r="F470" s="1" t="s">
        <v>304</v>
      </c>
      <c r="G470" t="str">
        <f>_xlfn.XLOOKUP(B470, Properties!A:A, Properties!B:B, FALSE)</f>
        <v>Becej</v>
      </c>
      <c r="H470" t="str">
        <f>_xlfn.XLOOKUP(C470, Agents!A:A, Agents!B:B, FALSE)</f>
        <v>Ivan Stankovic</v>
      </c>
      <c r="I470" t="str">
        <f t="shared" si="35"/>
        <v>2024-12</v>
      </c>
      <c r="J470" s="5" t="str">
        <f t="shared" si="36"/>
        <v>Standard</v>
      </c>
      <c r="K470" s="5" t="str">
        <f t="shared" si="37"/>
        <v>Low</v>
      </c>
      <c r="L470" s="5" t="str">
        <f t="shared" si="38"/>
        <v>No</v>
      </c>
      <c r="M470" s="5" t="str">
        <f t="shared" si="39"/>
        <v>Attention Needed</v>
      </c>
      <c r="N470" s="3">
        <f>_xlfn.XLOOKUP(B470, Properties!A:A, Properties!D:D, FALSE)</f>
        <v>144845</v>
      </c>
    </row>
    <row r="471" spans="1:14" x14ac:dyDescent="0.3">
      <c r="A471">
        <v>248</v>
      </c>
      <c r="B471">
        <v>46</v>
      </c>
      <c r="C471">
        <v>10</v>
      </c>
      <c r="D471" s="3">
        <v>49555</v>
      </c>
      <c r="E471" t="s">
        <v>259</v>
      </c>
      <c r="F471" s="1" t="s">
        <v>50</v>
      </c>
      <c r="G471" t="str">
        <f>_xlfn.XLOOKUP(B471, Properties!A:A, Properties!B:B, FALSE)</f>
        <v>Novi Sad</v>
      </c>
      <c r="H471" t="str">
        <f>_xlfn.XLOOKUP(C471, Agents!A:A, Agents!B:B, FALSE)</f>
        <v>Marko Jovic</v>
      </c>
      <c r="I471" t="str">
        <f t="shared" si="35"/>
        <v>2025-04</v>
      </c>
      <c r="J471" s="5" t="str">
        <f t="shared" si="36"/>
        <v>Standard</v>
      </c>
      <c r="K471" s="5" t="str">
        <f t="shared" si="37"/>
        <v>Low</v>
      </c>
      <c r="L471" s="5" t="str">
        <f t="shared" si="38"/>
        <v>No</v>
      </c>
      <c r="M471" s="5" t="str">
        <f t="shared" si="39"/>
        <v>Ok</v>
      </c>
      <c r="N471" s="3">
        <f>_xlfn.XLOOKUP(B471, Properties!A:A, Properties!D:D, FALSE)</f>
        <v>52453</v>
      </c>
    </row>
    <row r="472" spans="1:14" x14ac:dyDescent="0.3">
      <c r="A472">
        <v>151</v>
      </c>
      <c r="B472">
        <v>279</v>
      </c>
      <c r="C472">
        <v>8</v>
      </c>
      <c r="D472" s="3">
        <v>49199</v>
      </c>
      <c r="E472" t="s">
        <v>256</v>
      </c>
      <c r="F472" s="1" t="s">
        <v>307</v>
      </c>
      <c r="G472" t="str">
        <f>_xlfn.XLOOKUP(B472, Properties!A:A, Properties!B:B, FALSE)</f>
        <v>Becej</v>
      </c>
      <c r="H472" t="str">
        <f>_xlfn.XLOOKUP(C472, Agents!A:A, Agents!B:B, FALSE)</f>
        <v>Mina Lukic</v>
      </c>
      <c r="I472" t="str">
        <f t="shared" si="35"/>
        <v>2025-01</v>
      </c>
      <c r="J472" s="5" t="str">
        <f t="shared" si="36"/>
        <v>Standard</v>
      </c>
      <c r="K472" s="5" t="str">
        <f t="shared" si="37"/>
        <v>Low</v>
      </c>
      <c r="L472" s="5" t="str">
        <f t="shared" si="38"/>
        <v>No</v>
      </c>
      <c r="M472" s="5" t="str">
        <f t="shared" si="39"/>
        <v>Attention Needed</v>
      </c>
      <c r="N472" s="3">
        <f>_xlfn.XLOOKUP(B472, Properties!A:A, Properties!D:D, FALSE)</f>
        <v>236495</v>
      </c>
    </row>
    <row r="473" spans="1:14" x14ac:dyDescent="0.3">
      <c r="A473">
        <v>249</v>
      </c>
      <c r="B473">
        <v>90</v>
      </c>
      <c r="C473">
        <v>7</v>
      </c>
      <c r="D473" s="3">
        <v>49052</v>
      </c>
      <c r="E473" t="s">
        <v>259</v>
      </c>
      <c r="F473" s="1" t="s">
        <v>361</v>
      </c>
      <c r="G473" t="str">
        <f>_xlfn.XLOOKUP(B473, Properties!A:A, Properties!B:B, FALSE)</f>
        <v>Belgrade</v>
      </c>
      <c r="H473" t="str">
        <f>_xlfn.XLOOKUP(C473, Agents!A:A, Agents!B:B, FALSE)</f>
        <v>Ana Markovic</v>
      </c>
      <c r="I473" t="str">
        <f t="shared" si="35"/>
        <v>2025-03</v>
      </c>
      <c r="J473" s="5" t="str">
        <f t="shared" si="36"/>
        <v>Standard</v>
      </c>
      <c r="K473" s="5" t="str">
        <f t="shared" si="37"/>
        <v>Low</v>
      </c>
      <c r="L473" s="5" t="str">
        <f t="shared" si="38"/>
        <v>No</v>
      </c>
      <c r="M473" s="5" t="str">
        <f t="shared" si="39"/>
        <v>Ok</v>
      </c>
      <c r="N473" s="3">
        <f>_xlfn.XLOOKUP(B473, Properties!A:A, Properties!D:D, FALSE)</f>
        <v>150136</v>
      </c>
    </row>
    <row r="474" spans="1:14" x14ac:dyDescent="0.3">
      <c r="A474">
        <v>319</v>
      </c>
      <c r="B474">
        <v>278</v>
      </c>
      <c r="C474">
        <v>1</v>
      </c>
      <c r="D474" s="3">
        <v>47733</v>
      </c>
      <c r="E474" t="s">
        <v>257</v>
      </c>
      <c r="F474" s="1" t="s">
        <v>380</v>
      </c>
      <c r="G474" t="str">
        <f>_xlfn.XLOOKUP(B474, Properties!A:A, Properties!B:B, FALSE)</f>
        <v>Nis</v>
      </c>
      <c r="H474" t="str">
        <f>_xlfn.XLOOKUP(C474, Agents!A:A, Agents!B:B, FALSE)</f>
        <v>Ana Markovic</v>
      </c>
      <c r="I474" t="str">
        <f t="shared" si="35"/>
        <v>2025-03</v>
      </c>
      <c r="J474" s="5" t="str">
        <f t="shared" si="36"/>
        <v>Standard</v>
      </c>
      <c r="K474" s="5" t="str">
        <f t="shared" si="37"/>
        <v>Low</v>
      </c>
      <c r="L474" s="5" t="str">
        <f t="shared" si="38"/>
        <v>No</v>
      </c>
      <c r="M474" s="5" t="str">
        <f t="shared" si="39"/>
        <v>Attention Needed</v>
      </c>
      <c r="N474" s="3">
        <f>_xlfn.XLOOKUP(B474, Properties!A:A, Properties!D:D, FALSE)</f>
        <v>48300</v>
      </c>
    </row>
    <row r="475" spans="1:14" x14ac:dyDescent="0.3">
      <c r="A475">
        <v>288</v>
      </c>
      <c r="B475">
        <v>35</v>
      </c>
      <c r="C475">
        <v>2</v>
      </c>
      <c r="D475" s="3">
        <v>47603</v>
      </c>
      <c r="E475" t="s">
        <v>257</v>
      </c>
      <c r="F475" s="1" t="s">
        <v>228</v>
      </c>
      <c r="G475" t="str">
        <f>_xlfn.XLOOKUP(B475, Properties!A:A, Properties!B:B, FALSE)</f>
        <v>Nis</v>
      </c>
      <c r="H475" t="str">
        <f>_xlfn.XLOOKUP(C475, Agents!A:A, Agents!B:B, FALSE)</f>
        <v>Jelena Petrovic</v>
      </c>
      <c r="I475" t="str">
        <f t="shared" si="35"/>
        <v>2024-08</v>
      </c>
      <c r="J475" s="5" t="str">
        <f t="shared" si="36"/>
        <v>Standard</v>
      </c>
      <c r="K475" s="5" t="str">
        <f t="shared" si="37"/>
        <v>Low</v>
      </c>
      <c r="L475" s="5" t="str">
        <f t="shared" si="38"/>
        <v>No</v>
      </c>
      <c r="M475" s="5" t="str">
        <f t="shared" si="39"/>
        <v>Attention Needed</v>
      </c>
      <c r="N475" s="3">
        <f>_xlfn.XLOOKUP(B475, Properties!A:A, Properties!D:D, FALSE)</f>
        <v>175024</v>
      </c>
    </row>
    <row r="476" spans="1:14" x14ac:dyDescent="0.3">
      <c r="A476">
        <v>336</v>
      </c>
      <c r="B476">
        <v>39</v>
      </c>
      <c r="C476">
        <v>5</v>
      </c>
      <c r="D476" s="3">
        <v>47250</v>
      </c>
      <c r="E476" t="s">
        <v>257</v>
      </c>
      <c r="F476" s="1" t="s">
        <v>112</v>
      </c>
      <c r="G476" t="str">
        <f>_xlfn.XLOOKUP(B476, Properties!A:A, Properties!B:B, FALSE)</f>
        <v>Novi Sad</v>
      </c>
      <c r="H476" t="str">
        <f>_xlfn.XLOOKUP(C476, Agents!A:A, Agents!B:B, FALSE)</f>
        <v>Mina Lukic</v>
      </c>
      <c r="I476" t="str">
        <f t="shared" si="35"/>
        <v>2024-04</v>
      </c>
      <c r="J476" s="5" t="str">
        <f t="shared" si="36"/>
        <v>Standard</v>
      </c>
      <c r="K476" s="5" t="str">
        <f t="shared" si="37"/>
        <v>Low</v>
      </c>
      <c r="L476" s="5" t="str">
        <f t="shared" si="38"/>
        <v>No</v>
      </c>
      <c r="M476" s="5" t="str">
        <f t="shared" si="39"/>
        <v>Attention Needed</v>
      </c>
      <c r="N476" s="3">
        <f>_xlfn.XLOOKUP(B476, Properties!A:A, Properties!D:D, FALSE)</f>
        <v>30850</v>
      </c>
    </row>
    <row r="477" spans="1:14" x14ac:dyDescent="0.3">
      <c r="A477">
        <v>165</v>
      </c>
      <c r="B477">
        <v>188</v>
      </c>
      <c r="C477">
        <v>6</v>
      </c>
      <c r="D477" s="3">
        <v>46979</v>
      </c>
      <c r="E477" t="s">
        <v>256</v>
      </c>
      <c r="F477" s="1" t="s">
        <v>22</v>
      </c>
      <c r="G477" t="str">
        <f>_xlfn.XLOOKUP(B477, Properties!A:A, Properties!B:B, FALSE)</f>
        <v>Belgrade</v>
      </c>
      <c r="H477" t="str">
        <f>_xlfn.XLOOKUP(C477, Agents!A:A, Agents!B:B, FALSE)</f>
        <v>Marko Jovic</v>
      </c>
      <c r="I477" t="str">
        <f t="shared" si="35"/>
        <v>2024-11</v>
      </c>
      <c r="J477" s="5" t="str">
        <f t="shared" si="36"/>
        <v>Standard</v>
      </c>
      <c r="K477" s="5" t="str">
        <f t="shared" si="37"/>
        <v>Low</v>
      </c>
      <c r="L477" s="5" t="str">
        <f t="shared" si="38"/>
        <v>No</v>
      </c>
      <c r="M477" s="5" t="str">
        <f t="shared" si="39"/>
        <v>Attention Needed</v>
      </c>
      <c r="N477" s="3">
        <f>_xlfn.XLOOKUP(B477, Properties!A:A, Properties!D:D, FALSE)</f>
        <v>111536</v>
      </c>
    </row>
    <row r="478" spans="1:14" x14ac:dyDescent="0.3">
      <c r="A478">
        <v>413</v>
      </c>
      <c r="B478">
        <v>53</v>
      </c>
      <c r="C478">
        <v>4</v>
      </c>
      <c r="D478" s="3">
        <v>46898</v>
      </c>
      <c r="E478" t="s">
        <v>256</v>
      </c>
      <c r="F478" s="1" t="s">
        <v>295</v>
      </c>
      <c r="G478" t="str">
        <f>_xlfn.XLOOKUP(B478, Properties!A:A, Properties!B:B, FALSE)</f>
        <v>Nis</v>
      </c>
      <c r="H478" t="str">
        <f>_xlfn.XLOOKUP(C478, Agents!A:A, Agents!B:B, FALSE)</f>
        <v>Marko Jovic</v>
      </c>
      <c r="I478" t="str">
        <f t="shared" si="35"/>
        <v>2024-08</v>
      </c>
      <c r="J478" s="5" t="str">
        <f t="shared" si="36"/>
        <v>Standard</v>
      </c>
      <c r="K478" s="5" t="str">
        <f t="shared" si="37"/>
        <v>Low</v>
      </c>
      <c r="L478" s="5" t="str">
        <f t="shared" si="38"/>
        <v>No</v>
      </c>
      <c r="M478" s="5" t="str">
        <f t="shared" si="39"/>
        <v>Attention Needed</v>
      </c>
      <c r="N478" s="3">
        <f>_xlfn.XLOOKUP(B478, Properties!A:A, Properties!D:D, FALSE)</f>
        <v>61720</v>
      </c>
    </row>
    <row r="479" spans="1:14" x14ac:dyDescent="0.3">
      <c r="A479">
        <v>44</v>
      </c>
      <c r="B479">
        <v>267</v>
      </c>
      <c r="C479">
        <v>5</v>
      </c>
      <c r="D479" s="3">
        <v>46331</v>
      </c>
      <c r="E479" t="s">
        <v>256</v>
      </c>
      <c r="F479" s="1" t="s">
        <v>152</v>
      </c>
      <c r="G479" t="str">
        <f>_xlfn.XLOOKUP(B479, Properties!A:A, Properties!B:B, FALSE)</f>
        <v>Becej</v>
      </c>
      <c r="H479" t="str">
        <f>_xlfn.XLOOKUP(C479, Agents!A:A, Agents!B:B, FALSE)</f>
        <v>Mina Lukic</v>
      </c>
      <c r="I479" t="str">
        <f t="shared" si="35"/>
        <v>2024-02</v>
      </c>
      <c r="J479" s="5" t="str">
        <f t="shared" si="36"/>
        <v>Standard</v>
      </c>
      <c r="K479" s="5" t="str">
        <f t="shared" si="37"/>
        <v>Low</v>
      </c>
      <c r="L479" s="5" t="str">
        <f t="shared" si="38"/>
        <v>No</v>
      </c>
      <c r="M479" s="5" t="str">
        <f t="shared" si="39"/>
        <v>Attention Needed</v>
      </c>
      <c r="N479" s="3">
        <f>_xlfn.XLOOKUP(B479, Properties!A:A, Properties!D:D, FALSE)</f>
        <v>229226</v>
      </c>
    </row>
    <row r="480" spans="1:14" x14ac:dyDescent="0.3">
      <c r="A480">
        <v>407</v>
      </c>
      <c r="B480">
        <v>86</v>
      </c>
      <c r="C480">
        <v>2</v>
      </c>
      <c r="D480" s="3">
        <v>46179</v>
      </c>
      <c r="E480" t="s">
        <v>257</v>
      </c>
      <c r="F480" s="1" t="s">
        <v>350</v>
      </c>
      <c r="G480" t="str">
        <f>_xlfn.XLOOKUP(B480, Properties!A:A, Properties!B:B, FALSE)</f>
        <v>Belgrade</v>
      </c>
      <c r="H480" t="str">
        <f>_xlfn.XLOOKUP(C480, Agents!A:A, Agents!B:B, FALSE)</f>
        <v>Jelena Petrovic</v>
      </c>
      <c r="I480" t="str">
        <f t="shared" si="35"/>
        <v>2025-02</v>
      </c>
      <c r="J480" s="5" t="str">
        <f t="shared" si="36"/>
        <v>Standard</v>
      </c>
      <c r="K480" s="5" t="str">
        <f t="shared" si="37"/>
        <v>Low</v>
      </c>
      <c r="L480" s="5" t="str">
        <f t="shared" si="38"/>
        <v>No</v>
      </c>
      <c r="M480" s="5" t="str">
        <f t="shared" si="39"/>
        <v>Attention Needed</v>
      </c>
      <c r="N480" s="3">
        <f>_xlfn.XLOOKUP(B480, Properties!A:A, Properties!D:D, FALSE)</f>
        <v>139897</v>
      </c>
    </row>
    <row r="481" spans="1:14" x14ac:dyDescent="0.3">
      <c r="A481">
        <v>193</v>
      </c>
      <c r="B481">
        <v>293</v>
      </c>
      <c r="C481">
        <v>7</v>
      </c>
      <c r="D481" s="3">
        <v>45878</v>
      </c>
      <c r="E481" t="s">
        <v>257</v>
      </c>
      <c r="F481" s="1" t="s">
        <v>339</v>
      </c>
      <c r="G481" t="str">
        <f>_xlfn.XLOOKUP(B481, Properties!A:A, Properties!B:B, FALSE)</f>
        <v>Subotica</v>
      </c>
      <c r="H481" t="str">
        <f>_xlfn.XLOOKUP(C481, Agents!A:A, Agents!B:B, FALSE)</f>
        <v>Ana Markovic</v>
      </c>
      <c r="I481" t="str">
        <f t="shared" si="35"/>
        <v>2024-09</v>
      </c>
      <c r="J481" s="5" t="str">
        <f t="shared" si="36"/>
        <v>Standard</v>
      </c>
      <c r="K481" s="5" t="str">
        <f t="shared" si="37"/>
        <v>Low</v>
      </c>
      <c r="L481" s="5" t="str">
        <f t="shared" si="38"/>
        <v>No</v>
      </c>
      <c r="M481" s="5" t="str">
        <f t="shared" si="39"/>
        <v>Attention Needed</v>
      </c>
      <c r="N481" s="3">
        <f>_xlfn.XLOOKUP(B481, Properties!A:A, Properties!D:D, FALSE)</f>
        <v>193383</v>
      </c>
    </row>
    <row r="482" spans="1:14" x14ac:dyDescent="0.3">
      <c r="A482">
        <v>127</v>
      </c>
      <c r="B482">
        <v>114</v>
      </c>
      <c r="C482">
        <v>8</v>
      </c>
      <c r="D482" s="3">
        <v>43982</v>
      </c>
      <c r="E482" t="s">
        <v>256</v>
      </c>
      <c r="F482" s="1" t="s">
        <v>310</v>
      </c>
      <c r="G482" t="str">
        <f>_xlfn.XLOOKUP(B482, Properties!A:A, Properties!B:B, FALSE)</f>
        <v>Novi Sad</v>
      </c>
      <c r="H482" t="str">
        <f>_xlfn.XLOOKUP(C482, Agents!A:A, Agents!B:B, FALSE)</f>
        <v>Mina Lukic</v>
      </c>
      <c r="I482" t="str">
        <f t="shared" si="35"/>
        <v>2024-07</v>
      </c>
      <c r="J482" s="5" t="str">
        <f t="shared" si="36"/>
        <v>Standard</v>
      </c>
      <c r="K482" s="5" t="str">
        <f t="shared" si="37"/>
        <v>Low</v>
      </c>
      <c r="L482" s="5" t="str">
        <f t="shared" si="38"/>
        <v>No</v>
      </c>
      <c r="M482" s="5" t="str">
        <f t="shared" si="39"/>
        <v>Attention Needed</v>
      </c>
      <c r="N482" s="3">
        <f>_xlfn.XLOOKUP(B482, Properties!A:A, Properties!D:D, FALSE)</f>
        <v>36497</v>
      </c>
    </row>
    <row r="483" spans="1:14" x14ac:dyDescent="0.3">
      <c r="A483">
        <v>63</v>
      </c>
      <c r="B483">
        <v>116</v>
      </c>
      <c r="C483">
        <v>7</v>
      </c>
      <c r="D483" s="3">
        <v>43764</v>
      </c>
      <c r="E483" t="s">
        <v>257</v>
      </c>
      <c r="F483" s="1" t="s">
        <v>220</v>
      </c>
      <c r="G483" t="str">
        <f>_xlfn.XLOOKUP(B483, Properties!A:A, Properties!B:B, FALSE)</f>
        <v>Novi Sad</v>
      </c>
      <c r="H483" t="str">
        <f>_xlfn.XLOOKUP(C483, Agents!A:A, Agents!B:B, FALSE)</f>
        <v>Ana Markovic</v>
      </c>
      <c r="I483" t="str">
        <f t="shared" si="35"/>
        <v>2024-11</v>
      </c>
      <c r="J483" s="5" t="str">
        <f t="shared" si="36"/>
        <v>Standard</v>
      </c>
      <c r="K483" s="5" t="str">
        <f t="shared" si="37"/>
        <v>Low</v>
      </c>
      <c r="L483" s="5" t="str">
        <f t="shared" si="38"/>
        <v>No</v>
      </c>
      <c r="M483" s="5" t="str">
        <f t="shared" si="39"/>
        <v>Attention Needed</v>
      </c>
      <c r="N483" s="3">
        <f>_xlfn.XLOOKUP(B483, Properties!A:A, Properties!D:D, FALSE)</f>
        <v>71732</v>
      </c>
    </row>
    <row r="484" spans="1:14" x14ac:dyDescent="0.3">
      <c r="A484">
        <v>38</v>
      </c>
      <c r="B484">
        <v>129</v>
      </c>
      <c r="C484">
        <v>3</v>
      </c>
      <c r="D484" s="3">
        <v>43516</v>
      </c>
      <c r="E484" t="s">
        <v>259</v>
      </c>
      <c r="F484" s="1" t="s">
        <v>219</v>
      </c>
      <c r="G484" t="str">
        <f>_xlfn.XLOOKUP(B484, Properties!A:A, Properties!B:B, FALSE)</f>
        <v>Belgrade</v>
      </c>
      <c r="H484" t="str">
        <f>_xlfn.XLOOKUP(C484, Agents!A:A, Agents!B:B, FALSE)</f>
        <v>Ivan Stankovic</v>
      </c>
      <c r="I484" t="str">
        <f t="shared" si="35"/>
        <v>2024-03</v>
      </c>
      <c r="J484" s="5" t="str">
        <f t="shared" si="36"/>
        <v>Standard</v>
      </c>
      <c r="K484" s="5" t="str">
        <f t="shared" si="37"/>
        <v>Low</v>
      </c>
      <c r="L484" s="5" t="str">
        <f t="shared" si="38"/>
        <v>No</v>
      </c>
      <c r="M484" s="5" t="str">
        <f t="shared" si="39"/>
        <v>Ok</v>
      </c>
      <c r="N484" s="3">
        <f>_xlfn.XLOOKUP(B484, Properties!A:A, Properties!D:D, FALSE)</f>
        <v>181149</v>
      </c>
    </row>
    <row r="485" spans="1:14" x14ac:dyDescent="0.3">
      <c r="A485">
        <v>283</v>
      </c>
      <c r="B485">
        <v>66</v>
      </c>
      <c r="C485">
        <v>4</v>
      </c>
      <c r="D485" s="3">
        <v>41919</v>
      </c>
      <c r="E485" t="s">
        <v>259</v>
      </c>
      <c r="F485" s="1" t="s">
        <v>369</v>
      </c>
      <c r="G485" t="str">
        <f>_xlfn.XLOOKUP(B485, Properties!A:A, Properties!B:B, FALSE)</f>
        <v>Subotica</v>
      </c>
      <c r="H485" t="str">
        <f>_xlfn.XLOOKUP(C485, Agents!A:A, Agents!B:B, FALSE)</f>
        <v>Marko Jovic</v>
      </c>
      <c r="I485" t="str">
        <f t="shared" si="35"/>
        <v>2025-05</v>
      </c>
      <c r="J485" s="5" t="str">
        <f t="shared" si="36"/>
        <v>Standard</v>
      </c>
      <c r="K485" s="5" t="str">
        <f t="shared" si="37"/>
        <v>Low</v>
      </c>
      <c r="L485" s="5" t="str">
        <f t="shared" si="38"/>
        <v>No</v>
      </c>
      <c r="M485" s="5" t="str">
        <f t="shared" si="39"/>
        <v>Ok</v>
      </c>
      <c r="N485" s="3">
        <f>_xlfn.XLOOKUP(B485, Properties!A:A, Properties!D:D, FALSE)</f>
        <v>95183</v>
      </c>
    </row>
    <row r="486" spans="1:14" x14ac:dyDescent="0.3">
      <c r="A486">
        <v>275</v>
      </c>
      <c r="B486">
        <v>237</v>
      </c>
      <c r="C486">
        <v>5</v>
      </c>
      <c r="D486" s="3">
        <v>41413</v>
      </c>
      <c r="E486" t="s">
        <v>257</v>
      </c>
      <c r="F486" s="1" t="s">
        <v>89</v>
      </c>
      <c r="G486" t="str">
        <f>_xlfn.XLOOKUP(B486, Properties!A:A, Properties!B:B, FALSE)</f>
        <v>Nis</v>
      </c>
      <c r="H486" t="str">
        <f>_xlfn.XLOOKUP(C486, Agents!A:A, Agents!B:B, FALSE)</f>
        <v>Mina Lukic</v>
      </c>
      <c r="I486" t="str">
        <f t="shared" si="35"/>
        <v>2024-07</v>
      </c>
      <c r="J486" s="5" t="str">
        <f t="shared" si="36"/>
        <v>Standard</v>
      </c>
      <c r="K486" s="5" t="str">
        <f t="shared" si="37"/>
        <v>Low</v>
      </c>
      <c r="L486" s="5" t="str">
        <f t="shared" si="38"/>
        <v>No</v>
      </c>
      <c r="M486" s="5" t="str">
        <f t="shared" si="39"/>
        <v>Attention Needed</v>
      </c>
      <c r="N486" s="3">
        <f>_xlfn.XLOOKUP(B486, Properties!A:A, Properties!D:D, FALSE)</f>
        <v>189811</v>
      </c>
    </row>
    <row r="487" spans="1:14" x14ac:dyDescent="0.3">
      <c r="A487">
        <v>80</v>
      </c>
      <c r="B487">
        <v>204</v>
      </c>
      <c r="C487">
        <v>1</v>
      </c>
      <c r="D487" s="3">
        <v>39825</v>
      </c>
      <c r="E487" t="s">
        <v>256</v>
      </c>
      <c r="F487" s="1" t="s">
        <v>23</v>
      </c>
      <c r="G487" t="str">
        <f>_xlfn.XLOOKUP(B487, Properties!A:A, Properties!B:B, FALSE)</f>
        <v>Becej</v>
      </c>
      <c r="H487" t="str">
        <f>_xlfn.XLOOKUP(C487, Agents!A:A, Agents!B:B, FALSE)</f>
        <v>Ana Markovic</v>
      </c>
      <c r="I487" t="str">
        <f t="shared" si="35"/>
        <v>2024-08</v>
      </c>
      <c r="J487" s="5" t="str">
        <f t="shared" si="36"/>
        <v>Standard</v>
      </c>
      <c r="K487" s="5" t="str">
        <f t="shared" si="37"/>
        <v>Low</v>
      </c>
      <c r="L487" s="5" t="str">
        <f t="shared" si="38"/>
        <v>No</v>
      </c>
      <c r="M487" s="5" t="str">
        <f t="shared" si="39"/>
        <v>Attention Needed</v>
      </c>
      <c r="N487" s="3">
        <f>_xlfn.XLOOKUP(B487, Properties!A:A, Properties!D:D, FALSE)</f>
        <v>77668</v>
      </c>
    </row>
    <row r="488" spans="1:14" x14ac:dyDescent="0.3">
      <c r="A488">
        <v>325</v>
      </c>
      <c r="B488">
        <v>141</v>
      </c>
      <c r="C488">
        <v>9</v>
      </c>
      <c r="D488" s="3">
        <v>38987</v>
      </c>
      <c r="E488" t="s">
        <v>256</v>
      </c>
      <c r="F488" s="1" t="s">
        <v>382</v>
      </c>
      <c r="G488" t="str">
        <f>_xlfn.XLOOKUP(B488, Properties!A:A, Properties!B:B, FALSE)</f>
        <v>Novi Sad</v>
      </c>
      <c r="H488" t="str">
        <f>_xlfn.XLOOKUP(C488, Agents!A:A, Agents!B:B, FALSE)</f>
        <v>Ivan Stankovic</v>
      </c>
      <c r="I488" t="str">
        <f t="shared" si="35"/>
        <v>2024-09</v>
      </c>
      <c r="J488" s="5" t="str">
        <f t="shared" si="36"/>
        <v>Standard</v>
      </c>
      <c r="K488" s="5" t="str">
        <f t="shared" si="37"/>
        <v>Low</v>
      </c>
      <c r="L488" s="5" t="str">
        <f t="shared" si="38"/>
        <v>No</v>
      </c>
      <c r="M488" s="5" t="str">
        <f t="shared" si="39"/>
        <v>Attention Needed</v>
      </c>
      <c r="N488" s="3">
        <f>_xlfn.XLOOKUP(B488, Properties!A:A, Properties!D:D, FALSE)</f>
        <v>104392</v>
      </c>
    </row>
    <row r="489" spans="1:14" x14ac:dyDescent="0.3">
      <c r="A489">
        <v>324</v>
      </c>
      <c r="B489">
        <v>283</v>
      </c>
      <c r="C489">
        <v>7</v>
      </c>
      <c r="D489" s="3">
        <v>38769</v>
      </c>
      <c r="E489" t="s">
        <v>259</v>
      </c>
      <c r="F489" s="1" t="s">
        <v>190</v>
      </c>
      <c r="G489" t="str">
        <f>_xlfn.XLOOKUP(B489, Properties!A:A, Properties!B:B, FALSE)</f>
        <v>Nis</v>
      </c>
      <c r="H489" t="str">
        <f>_xlfn.XLOOKUP(C489, Agents!A:A, Agents!B:B, FALSE)</f>
        <v>Ana Markovic</v>
      </c>
      <c r="I489" t="str">
        <f t="shared" si="35"/>
        <v>2024-09</v>
      </c>
      <c r="J489" s="5" t="str">
        <f t="shared" si="36"/>
        <v>Standard</v>
      </c>
      <c r="K489" s="5" t="str">
        <f t="shared" si="37"/>
        <v>Low</v>
      </c>
      <c r="L489" s="5" t="str">
        <f t="shared" si="38"/>
        <v>No</v>
      </c>
      <c r="M489" s="5" t="str">
        <f t="shared" si="39"/>
        <v>Ok</v>
      </c>
      <c r="N489" s="3">
        <f>_xlfn.XLOOKUP(B489, Properties!A:A, Properties!D:D, FALSE)</f>
        <v>149365</v>
      </c>
    </row>
    <row r="490" spans="1:14" x14ac:dyDescent="0.3">
      <c r="A490">
        <v>221</v>
      </c>
      <c r="B490">
        <v>289</v>
      </c>
      <c r="C490">
        <v>5</v>
      </c>
      <c r="D490" s="3">
        <v>38722</v>
      </c>
      <c r="E490" t="s">
        <v>256</v>
      </c>
      <c r="F490" s="1" t="s">
        <v>321</v>
      </c>
      <c r="G490" t="str">
        <f>_xlfn.XLOOKUP(B490, Properties!A:A, Properties!B:B, FALSE)</f>
        <v>Nis</v>
      </c>
      <c r="H490" t="str">
        <f>_xlfn.XLOOKUP(C490, Agents!A:A, Agents!B:B, FALSE)</f>
        <v>Mina Lukic</v>
      </c>
      <c r="I490" t="str">
        <f t="shared" si="35"/>
        <v>2024-07</v>
      </c>
      <c r="J490" s="5" t="str">
        <f t="shared" si="36"/>
        <v>Standard</v>
      </c>
      <c r="K490" s="5" t="str">
        <f t="shared" si="37"/>
        <v>Low</v>
      </c>
      <c r="L490" s="5" t="str">
        <f t="shared" si="38"/>
        <v>No</v>
      </c>
      <c r="M490" s="5" t="str">
        <f t="shared" si="39"/>
        <v>Attention Needed</v>
      </c>
      <c r="N490" s="3">
        <f>_xlfn.XLOOKUP(B490, Properties!A:A, Properties!D:D, FALSE)</f>
        <v>56309</v>
      </c>
    </row>
    <row r="491" spans="1:14" x14ac:dyDescent="0.3">
      <c r="A491">
        <v>137</v>
      </c>
      <c r="B491">
        <v>57</v>
      </c>
      <c r="C491">
        <v>8</v>
      </c>
      <c r="D491" s="3">
        <v>38616</v>
      </c>
      <c r="E491" t="s">
        <v>257</v>
      </c>
      <c r="F491" s="1" t="s">
        <v>63</v>
      </c>
      <c r="G491" t="str">
        <f>_xlfn.XLOOKUP(B491, Properties!A:A, Properties!B:B, FALSE)</f>
        <v>Belgrade</v>
      </c>
      <c r="H491" t="str">
        <f>_xlfn.XLOOKUP(C491, Agents!A:A, Agents!B:B, FALSE)</f>
        <v>Mina Lukic</v>
      </c>
      <c r="I491" t="str">
        <f t="shared" si="35"/>
        <v>2024-11</v>
      </c>
      <c r="J491" s="5" t="str">
        <f t="shared" si="36"/>
        <v>Standard</v>
      </c>
      <c r="K491" s="5" t="str">
        <f t="shared" si="37"/>
        <v>Low</v>
      </c>
      <c r="L491" s="5" t="str">
        <f t="shared" si="38"/>
        <v>No</v>
      </c>
      <c r="M491" s="5" t="str">
        <f t="shared" si="39"/>
        <v>Attention Needed</v>
      </c>
      <c r="N491" s="3">
        <f>_xlfn.XLOOKUP(B491, Properties!A:A, Properties!D:D, FALSE)</f>
        <v>47668</v>
      </c>
    </row>
    <row r="492" spans="1:14" x14ac:dyDescent="0.3">
      <c r="A492">
        <v>306</v>
      </c>
      <c r="B492">
        <v>107</v>
      </c>
      <c r="C492">
        <v>6</v>
      </c>
      <c r="D492" s="3">
        <v>38039</v>
      </c>
      <c r="E492" t="s">
        <v>256</v>
      </c>
      <c r="F492" s="1" t="s">
        <v>205</v>
      </c>
      <c r="G492" t="str">
        <f>_xlfn.XLOOKUP(B492, Properties!A:A, Properties!B:B, FALSE)</f>
        <v>Novi Sad</v>
      </c>
      <c r="H492" t="str">
        <f>_xlfn.XLOOKUP(C492, Agents!A:A, Agents!B:B, FALSE)</f>
        <v>Marko Jovic</v>
      </c>
      <c r="I492" t="str">
        <f t="shared" si="35"/>
        <v>2024-04</v>
      </c>
      <c r="J492" s="5" t="str">
        <f t="shared" si="36"/>
        <v>Standard</v>
      </c>
      <c r="K492" s="5" t="str">
        <f t="shared" si="37"/>
        <v>Low</v>
      </c>
      <c r="L492" s="5" t="str">
        <f t="shared" si="38"/>
        <v>No</v>
      </c>
      <c r="M492" s="5" t="str">
        <f t="shared" si="39"/>
        <v>Attention Needed</v>
      </c>
      <c r="N492" s="3">
        <f>_xlfn.XLOOKUP(B492, Properties!A:A, Properties!D:D, FALSE)</f>
        <v>248784</v>
      </c>
    </row>
    <row r="493" spans="1:14" x14ac:dyDescent="0.3">
      <c r="A493">
        <v>475</v>
      </c>
      <c r="B493">
        <v>261</v>
      </c>
      <c r="C493">
        <v>1</v>
      </c>
      <c r="D493" s="3">
        <v>36442</v>
      </c>
      <c r="E493" t="s">
        <v>259</v>
      </c>
      <c r="F493" s="1" t="s">
        <v>416</v>
      </c>
      <c r="G493" t="str">
        <f>_xlfn.XLOOKUP(B493, Properties!A:A, Properties!B:B, FALSE)</f>
        <v>Becej</v>
      </c>
      <c r="H493" t="str">
        <f>_xlfn.XLOOKUP(C493, Agents!A:A, Agents!B:B, FALSE)</f>
        <v>Ana Markovic</v>
      </c>
      <c r="I493" t="str">
        <f t="shared" si="35"/>
        <v>2024-05</v>
      </c>
      <c r="J493" s="5" t="str">
        <f t="shared" si="36"/>
        <v>Standard</v>
      </c>
      <c r="K493" s="5" t="str">
        <f t="shared" si="37"/>
        <v>Low</v>
      </c>
      <c r="L493" s="5" t="str">
        <f t="shared" si="38"/>
        <v>No</v>
      </c>
      <c r="M493" s="5" t="str">
        <f t="shared" si="39"/>
        <v>Ok</v>
      </c>
      <c r="N493" s="3">
        <f>_xlfn.XLOOKUP(B493, Properties!A:A, Properties!D:D, FALSE)</f>
        <v>203692</v>
      </c>
    </row>
    <row r="494" spans="1:14" x14ac:dyDescent="0.3">
      <c r="A494">
        <v>455</v>
      </c>
      <c r="B494">
        <v>256</v>
      </c>
      <c r="C494">
        <v>10</v>
      </c>
      <c r="D494" s="3">
        <v>36326</v>
      </c>
      <c r="E494" t="s">
        <v>259</v>
      </c>
      <c r="F494" s="1" t="s">
        <v>195</v>
      </c>
      <c r="G494" t="str">
        <f>_xlfn.XLOOKUP(B494, Properties!A:A, Properties!B:B, FALSE)</f>
        <v>Novi Sad</v>
      </c>
      <c r="H494" t="str">
        <f>_xlfn.XLOOKUP(C494, Agents!A:A, Agents!B:B, FALSE)</f>
        <v>Marko Jovic</v>
      </c>
      <c r="I494" t="str">
        <f t="shared" si="35"/>
        <v>2024-07</v>
      </c>
      <c r="J494" s="5" t="str">
        <f t="shared" si="36"/>
        <v>Standard</v>
      </c>
      <c r="K494" s="5" t="str">
        <f t="shared" si="37"/>
        <v>Low</v>
      </c>
      <c r="L494" s="5" t="str">
        <f t="shared" si="38"/>
        <v>No</v>
      </c>
      <c r="M494" s="5" t="str">
        <f t="shared" si="39"/>
        <v>Ok</v>
      </c>
      <c r="N494" s="3">
        <f>_xlfn.XLOOKUP(B494, Properties!A:A, Properties!D:D, FALSE)</f>
        <v>166043</v>
      </c>
    </row>
    <row r="495" spans="1:14" x14ac:dyDescent="0.3">
      <c r="A495">
        <v>332</v>
      </c>
      <c r="B495">
        <v>283</v>
      </c>
      <c r="C495">
        <v>8</v>
      </c>
      <c r="D495" s="3">
        <v>34954</v>
      </c>
      <c r="E495" t="s">
        <v>259</v>
      </c>
      <c r="F495" s="1" t="s">
        <v>183</v>
      </c>
      <c r="G495" t="str">
        <f>_xlfn.XLOOKUP(B495, Properties!A:A, Properties!B:B, FALSE)</f>
        <v>Nis</v>
      </c>
      <c r="H495" t="str">
        <f>_xlfn.XLOOKUP(C495, Agents!A:A, Agents!B:B, FALSE)</f>
        <v>Mina Lukic</v>
      </c>
      <c r="I495" t="str">
        <f t="shared" si="35"/>
        <v>2024-12</v>
      </c>
      <c r="J495" s="5" t="str">
        <f t="shared" si="36"/>
        <v>Standard</v>
      </c>
      <c r="K495" s="5" t="str">
        <f t="shared" si="37"/>
        <v>Low</v>
      </c>
      <c r="L495" s="5" t="str">
        <f t="shared" si="38"/>
        <v>No</v>
      </c>
      <c r="M495" s="5" t="str">
        <f t="shared" si="39"/>
        <v>Ok</v>
      </c>
      <c r="N495" s="3">
        <f>_xlfn.XLOOKUP(B495, Properties!A:A, Properties!D:D, FALSE)</f>
        <v>149365</v>
      </c>
    </row>
    <row r="496" spans="1:14" x14ac:dyDescent="0.3">
      <c r="A496">
        <v>1</v>
      </c>
      <c r="B496">
        <v>131</v>
      </c>
      <c r="C496">
        <v>8</v>
      </c>
      <c r="D496" s="3">
        <v>34926</v>
      </c>
      <c r="E496" t="s">
        <v>256</v>
      </c>
      <c r="F496" s="1" t="s">
        <v>61</v>
      </c>
      <c r="G496" t="str">
        <f>_xlfn.XLOOKUP(B496, Properties!A:A, Properties!B:B, FALSE)</f>
        <v>Belgrade</v>
      </c>
      <c r="H496" t="str">
        <f>_xlfn.XLOOKUP(C496, Agents!A:A, Agents!B:B, FALSE)</f>
        <v>Mina Lukic</v>
      </c>
      <c r="I496" t="str">
        <f t="shared" si="35"/>
        <v>2025-04</v>
      </c>
      <c r="J496" s="5" t="str">
        <f t="shared" si="36"/>
        <v>Standard</v>
      </c>
      <c r="K496" s="5" t="str">
        <f t="shared" si="37"/>
        <v>Low</v>
      </c>
      <c r="L496" s="5" t="str">
        <f t="shared" si="38"/>
        <v>No</v>
      </c>
      <c r="M496" s="5" t="str">
        <f t="shared" si="39"/>
        <v>Attention Needed</v>
      </c>
      <c r="N496" s="3">
        <f>_xlfn.XLOOKUP(B496, Properties!A:A, Properties!D:D, FALSE)</f>
        <v>125478</v>
      </c>
    </row>
    <row r="497" spans="1:14" x14ac:dyDescent="0.3">
      <c r="A497">
        <v>445</v>
      </c>
      <c r="B497">
        <v>74</v>
      </c>
      <c r="C497">
        <v>2</v>
      </c>
      <c r="D497" s="3">
        <v>34443</v>
      </c>
      <c r="E497" t="s">
        <v>257</v>
      </c>
      <c r="F497" s="1" t="s">
        <v>409</v>
      </c>
      <c r="G497" t="str">
        <f>_xlfn.XLOOKUP(B497, Properties!A:A, Properties!B:B, FALSE)</f>
        <v>Belgrade</v>
      </c>
      <c r="H497" t="str">
        <f>_xlfn.XLOOKUP(C497, Agents!A:A, Agents!B:B, FALSE)</f>
        <v>Jelena Petrovic</v>
      </c>
      <c r="I497" t="str">
        <f t="shared" si="35"/>
        <v>2024-11</v>
      </c>
      <c r="J497" s="5" t="str">
        <f t="shared" si="36"/>
        <v>Standard</v>
      </c>
      <c r="K497" s="5" t="str">
        <f t="shared" si="37"/>
        <v>Low</v>
      </c>
      <c r="L497" s="5" t="str">
        <f t="shared" si="38"/>
        <v>No</v>
      </c>
      <c r="M497" s="5" t="str">
        <f t="shared" si="39"/>
        <v>Attention Needed</v>
      </c>
      <c r="N497" s="3">
        <f>_xlfn.XLOOKUP(B497, Properties!A:A, Properties!D:D, FALSE)</f>
        <v>129345</v>
      </c>
    </row>
    <row r="498" spans="1:14" x14ac:dyDescent="0.3">
      <c r="A498">
        <v>360</v>
      </c>
      <c r="B498">
        <v>55</v>
      </c>
      <c r="C498">
        <v>3</v>
      </c>
      <c r="D498" s="3">
        <v>33548</v>
      </c>
      <c r="E498" t="s">
        <v>256</v>
      </c>
      <c r="F498" s="1" t="s">
        <v>169</v>
      </c>
      <c r="G498" t="str">
        <f>_xlfn.XLOOKUP(B498, Properties!A:A, Properties!B:B, FALSE)</f>
        <v>Nis</v>
      </c>
      <c r="H498" t="str">
        <f>_xlfn.XLOOKUP(C498, Agents!A:A, Agents!B:B, FALSE)</f>
        <v>Ivan Stankovic</v>
      </c>
      <c r="I498" t="str">
        <f t="shared" si="35"/>
        <v>2025-04</v>
      </c>
      <c r="J498" s="5" t="str">
        <f t="shared" si="36"/>
        <v>Standard</v>
      </c>
      <c r="K498" s="5" t="str">
        <f t="shared" si="37"/>
        <v>Low</v>
      </c>
      <c r="L498" s="5" t="str">
        <f t="shared" si="38"/>
        <v>No</v>
      </c>
      <c r="M498" s="5" t="str">
        <f t="shared" si="39"/>
        <v>Attention Needed</v>
      </c>
      <c r="N498" s="3">
        <f>_xlfn.XLOOKUP(B498, Properties!A:A, Properties!D:D, FALSE)</f>
        <v>184256</v>
      </c>
    </row>
    <row r="499" spans="1:14" x14ac:dyDescent="0.3">
      <c r="A499">
        <v>323</v>
      </c>
      <c r="B499">
        <v>248</v>
      </c>
      <c r="C499">
        <v>8</v>
      </c>
      <c r="D499" s="3">
        <v>33466</v>
      </c>
      <c r="E499" t="s">
        <v>259</v>
      </c>
      <c r="F499" s="1" t="s">
        <v>57</v>
      </c>
      <c r="G499" t="str">
        <f>_xlfn.XLOOKUP(B499, Properties!A:A, Properties!B:B, FALSE)</f>
        <v>Novi Sad</v>
      </c>
      <c r="H499" t="str">
        <f>_xlfn.XLOOKUP(C499, Agents!A:A, Agents!B:B, FALSE)</f>
        <v>Mina Lukic</v>
      </c>
      <c r="I499" t="str">
        <f t="shared" si="35"/>
        <v>2024-09</v>
      </c>
      <c r="J499" s="5" t="str">
        <f t="shared" si="36"/>
        <v>Standard</v>
      </c>
      <c r="K499" s="5" t="str">
        <f t="shared" si="37"/>
        <v>Low</v>
      </c>
      <c r="L499" s="5" t="str">
        <f t="shared" si="38"/>
        <v>No</v>
      </c>
      <c r="M499" s="5" t="str">
        <f t="shared" si="39"/>
        <v>Ok</v>
      </c>
      <c r="N499" s="3">
        <f>_xlfn.XLOOKUP(B499, Properties!A:A, Properties!D:D, FALSE)</f>
        <v>185987</v>
      </c>
    </row>
    <row r="500" spans="1:14" x14ac:dyDescent="0.3">
      <c r="A500">
        <v>65</v>
      </c>
      <c r="B500">
        <v>159</v>
      </c>
      <c r="C500">
        <v>6</v>
      </c>
      <c r="D500" s="3">
        <v>33201</v>
      </c>
      <c r="E500" t="s">
        <v>256</v>
      </c>
      <c r="F500" s="1" t="s">
        <v>282</v>
      </c>
      <c r="G500" t="str">
        <f>_xlfn.XLOOKUP(B500, Properties!A:A, Properties!B:B, FALSE)</f>
        <v>Subotica</v>
      </c>
      <c r="H500" t="str">
        <f>_xlfn.XLOOKUP(C500, Agents!A:A, Agents!B:B, FALSE)</f>
        <v>Marko Jovic</v>
      </c>
      <c r="I500" t="str">
        <f t="shared" si="35"/>
        <v>2024-04</v>
      </c>
      <c r="J500" s="5" t="str">
        <f t="shared" si="36"/>
        <v>Standard</v>
      </c>
      <c r="K500" s="5" t="str">
        <f t="shared" si="37"/>
        <v>Low</v>
      </c>
      <c r="L500" s="5" t="str">
        <f t="shared" si="38"/>
        <v>No</v>
      </c>
      <c r="M500" s="5" t="str">
        <f t="shared" si="39"/>
        <v>Attention Needed</v>
      </c>
      <c r="N500" s="3">
        <f>_xlfn.XLOOKUP(B500, Properties!A:A, Properties!D:D, FALSE)</f>
        <v>50311</v>
      </c>
    </row>
    <row r="501" spans="1:14" x14ac:dyDescent="0.3">
      <c r="A501">
        <v>433</v>
      </c>
      <c r="B501">
        <v>81</v>
      </c>
      <c r="C501">
        <v>8</v>
      </c>
      <c r="D501" s="3">
        <v>30354</v>
      </c>
      <c r="E501" t="s">
        <v>256</v>
      </c>
      <c r="F501" s="1" t="s">
        <v>354</v>
      </c>
      <c r="G501" t="str">
        <f>_xlfn.XLOOKUP(B501, Properties!A:A, Properties!B:B, FALSE)</f>
        <v>Nis</v>
      </c>
      <c r="H501" t="str">
        <f>_xlfn.XLOOKUP(C501, Agents!A:A, Agents!B:B, FALSE)</f>
        <v>Mina Lukic</v>
      </c>
      <c r="I501" t="str">
        <f t="shared" si="35"/>
        <v>2025-05</v>
      </c>
      <c r="J501" s="5" t="str">
        <f t="shared" si="36"/>
        <v>Standard</v>
      </c>
      <c r="K501" s="5" t="str">
        <f t="shared" si="37"/>
        <v>Low</v>
      </c>
      <c r="L501" s="5" t="str">
        <f t="shared" si="38"/>
        <v>No</v>
      </c>
      <c r="M501" s="5" t="str">
        <f t="shared" si="39"/>
        <v>Attention Needed</v>
      </c>
      <c r="N501" s="3">
        <f>_xlfn.XLOOKUP(B501, Properties!A:A, Properties!D:D, FALSE)</f>
        <v>44910</v>
      </c>
    </row>
  </sheetData>
  <conditionalFormatting sqref="D2:D501">
    <cfRule type="cellIs" dxfId="457" priority="1" operator="greaterThan">
      <formula>200000</formula>
    </cfRule>
    <cfRule type="cellIs" dxfId="456" priority="2" operator="greaterThan">
      <formula>200000</formula>
    </cfRule>
  </conditionalFormatting>
  <pageMargins left="0.75" right="0.75" top="1" bottom="1" header="0.5" footer="0.5"/>
  <pageSetup paperSize="9" scale="10"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15BEA-07BB-4389-A1AF-C9E7F4F0020C}">
  <sheetPr>
    <tabColor theme="7"/>
    <pageSetUpPr fitToPage="1"/>
  </sheetPr>
  <dimension ref="A1:O22"/>
  <sheetViews>
    <sheetView workbookViewId="0">
      <selection activeCell="O24" sqref="O24"/>
    </sheetView>
  </sheetViews>
  <sheetFormatPr defaultRowHeight="14.4" x14ac:dyDescent="0.3"/>
  <cols>
    <col min="1" max="1" width="12.5546875" bestFit="1" customWidth="1"/>
    <col min="2" max="2" width="15.109375" bestFit="1" customWidth="1"/>
    <col min="3" max="3" width="9.5546875" customWidth="1"/>
    <col min="4" max="4" width="13.33203125" bestFit="1" customWidth="1"/>
    <col min="5" max="5" width="15.109375" bestFit="1" customWidth="1"/>
    <col min="7" max="7" width="12.5546875" bestFit="1" customWidth="1"/>
    <col min="8" max="8" width="15.109375" bestFit="1" customWidth="1"/>
    <col min="10" max="10" width="12.5546875" bestFit="1" customWidth="1"/>
    <col min="11" max="11" width="15.109375" customWidth="1"/>
    <col min="12" max="12" width="9.77734375" customWidth="1"/>
    <col min="13" max="13" width="13.33203125" bestFit="1" customWidth="1"/>
    <col min="14" max="14" width="18.33203125" bestFit="1" customWidth="1"/>
    <col min="15" max="15" width="19.109375" bestFit="1" customWidth="1"/>
  </cols>
  <sheetData>
    <row r="1" spans="1:15" x14ac:dyDescent="0.3">
      <c r="A1" s="6" t="s">
        <v>254</v>
      </c>
      <c r="B1" t="s">
        <v>461</v>
      </c>
    </row>
    <row r="2" spans="1:15" x14ac:dyDescent="0.3">
      <c r="A2" s="6" t="s">
        <v>453</v>
      </c>
      <c r="B2" t="s">
        <v>464</v>
      </c>
    </row>
    <row r="3" spans="1:15" x14ac:dyDescent="0.3">
      <c r="D3" s="6" t="s">
        <v>433</v>
      </c>
      <c r="E3" s="4" t="s">
        <v>432</v>
      </c>
      <c r="G3" s="6" t="s">
        <v>433</v>
      </c>
      <c r="H3" s="4" t="s">
        <v>432</v>
      </c>
      <c r="J3" s="6" t="s">
        <v>433</v>
      </c>
      <c r="K3" s="9" t="s">
        <v>432</v>
      </c>
      <c r="M3" s="6" t="s">
        <v>433</v>
      </c>
      <c r="N3" t="s">
        <v>462</v>
      </c>
      <c r="O3" t="s">
        <v>463</v>
      </c>
    </row>
    <row r="4" spans="1:15" x14ac:dyDescent="0.3">
      <c r="A4" s="6" t="s">
        <v>433</v>
      </c>
      <c r="B4" s="3" t="s">
        <v>432</v>
      </c>
      <c r="D4" s="7" t="s">
        <v>249</v>
      </c>
      <c r="E4" s="3">
        <v>23814733</v>
      </c>
      <c r="G4" s="7" t="s">
        <v>436</v>
      </c>
      <c r="H4" s="3">
        <v>4535735</v>
      </c>
      <c r="J4" s="7" t="s">
        <v>37</v>
      </c>
      <c r="K4" s="9">
        <v>0.21235915367936323</v>
      </c>
      <c r="M4" s="7" t="s">
        <v>6</v>
      </c>
      <c r="N4" s="5">
        <v>74</v>
      </c>
      <c r="O4" s="9">
        <v>0.24666666666666667</v>
      </c>
    </row>
    <row r="5" spans="1:15" x14ac:dyDescent="0.3">
      <c r="A5" s="7" t="s">
        <v>14</v>
      </c>
      <c r="B5" s="3">
        <v>8302754</v>
      </c>
      <c r="D5" s="7" t="s">
        <v>251</v>
      </c>
      <c r="E5" s="3">
        <v>18051906</v>
      </c>
      <c r="G5" s="7" t="s">
        <v>437</v>
      </c>
      <c r="H5" s="3">
        <v>6668756</v>
      </c>
      <c r="J5" s="7" t="s">
        <v>5</v>
      </c>
      <c r="K5" s="9">
        <v>0.16300997558078489</v>
      </c>
      <c r="M5" s="7" t="s">
        <v>9</v>
      </c>
      <c r="N5" s="5">
        <v>62</v>
      </c>
      <c r="O5" s="9">
        <v>0.20666666666666667</v>
      </c>
    </row>
    <row r="6" spans="1:15" x14ac:dyDescent="0.3">
      <c r="A6" s="7" t="s">
        <v>8</v>
      </c>
      <c r="B6" s="3">
        <v>7722630</v>
      </c>
      <c r="D6" s="7" t="s">
        <v>244</v>
      </c>
      <c r="E6" s="3">
        <v>15253664</v>
      </c>
      <c r="G6" s="7" t="s">
        <v>438</v>
      </c>
      <c r="H6" s="3">
        <v>4758645</v>
      </c>
      <c r="J6" s="7" t="s">
        <v>14</v>
      </c>
      <c r="K6" s="9">
        <v>0.22401190767820101</v>
      </c>
      <c r="M6" s="7" t="s">
        <v>15</v>
      </c>
      <c r="N6" s="5">
        <v>81</v>
      </c>
      <c r="O6" s="9">
        <v>0.27</v>
      </c>
    </row>
    <row r="7" spans="1:15" x14ac:dyDescent="0.3">
      <c r="A7" s="7" t="s">
        <v>37</v>
      </c>
      <c r="B7" s="3">
        <v>7283263</v>
      </c>
      <c r="D7" s="7" t="s">
        <v>247</v>
      </c>
      <c r="E7" s="3">
        <v>14501283</v>
      </c>
      <c r="G7" s="7" t="s">
        <v>439</v>
      </c>
      <c r="H7" s="3">
        <v>5171869</v>
      </c>
      <c r="J7" s="7" t="s">
        <v>8</v>
      </c>
      <c r="K7" s="9">
        <v>0.21639810748803864</v>
      </c>
      <c r="M7" s="7" t="s">
        <v>17</v>
      </c>
      <c r="N7" s="5">
        <v>83</v>
      </c>
      <c r="O7" s="9">
        <v>0.27666666666666667</v>
      </c>
    </row>
    <row r="8" spans="1:15" x14ac:dyDescent="0.3">
      <c r="A8" s="7" t="s">
        <v>5</v>
      </c>
      <c r="B8" s="3">
        <v>6124651</v>
      </c>
      <c r="D8" s="7" t="s">
        <v>246</v>
      </c>
      <c r="E8" s="3">
        <v>10646005</v>
      </c>
      <c r="G8" s="7" t="s">
        <v>440</v>
      </c>
      <c r="H8" s="3">
        <v>3776414</v>
      </c>
      <c r="J8" s="7" t="s">
        <v>19</v>
      </c>
      <c r="K8" s="9">
        <v>0.1842208555736122</v>
      </c>
      <c r="M8" s="7" t="s">
        <v>434</v>
      </c>
      <c r="N8" s="5">
        <v>300</v>
      </c>
      <c r="O8" s="9">
        <v>1</v>
      </c>
    </row>
    <row r="9" spans="1:15" x14ac:dyDescent="0.3">
      <c r="A9" s="7" t="s">
        <v>19</v>
      </c>
      <c r="B9" s="3">
        <v>5630099</v>
      </c>
      <c r="D9" s="7" t="s">
        <v>434</v>
      </c>
      <c r="E9" s="3">
        <v>82267591</v>
      </c>
      <c r="G9" s="7" t="s">
        <v>441</v>
      </c>
      <c r="H9" s="3">
        <v>3363133</v>
      </c>
      <c r="J9" s="7" t="s">
        <v>434</v>
      </c>
      <c r="K9" s="9">
        <v>1</v>
      </c>
    </row>
    <row r="10" spans="1:15" x14ac:dyDescent="0.3">
      <c r="A10" s="7" t="s">
        <v>434</v>
      </c>
      <c r="B10" s="3">
        <v>35063397</v>
      </c>
      <c r="G10" s="7" t="s">
        <v>442</v>
      </c>
      <c r="H10" s="3">
        <v>7226410</v>
      </c>
      <c r="M10" s="6" t="s">
        <v>254</v>
      </c>
      <c r="N10" t="s">
        <v>259</v>
      </c>
    </row>
    <row r="11" spans="1:15" x14ac:dyDescent="0.3">
      <c r="G11" s="7" t="s">
        <v>443</v>
      </c>
      <c r="H11" s="3">
        <v>4228725</v>
      </c>
    </row>
    <row r="12" spans="1:15" x14ac:dyDescent="0.3">
      <c r="G12" s="7" t="s">
        <v>444</v>
      </c>
      <c r="H12" s="3">
        <v>6121056</v>
      </c>
      <c r="J12" s="3" t="s">
        <v>432</v>
      </c>
      <c r="M12" s="6" t="s">
        <v>433</v>
      </c>
      <c r="N12" s="3" t="s">
        <v>458</v>
      </c>
    </row>
    <row r="13" spans="1:15" x14ac:dyDescent="0.3">
      <c r="G13" s="7" t="s">
        <v>445</v>
      </c>
      <c r="H13" s="3">
        <v>4510423</v>
      </c>
      <c r="J13" s="3">
        <v>82267591</v>
      </c>
      <c r="M13" s="7" t="s">
        <v>249</v>
      </c>
      <c r="N13" s="3">
        <v>176229.88</v>
      </c>
    </row>
    <row r="14" spans="1:15" x14ac:dyDescent="0.3">
      <c r="G14" s="7" t="s">
        <v>446</v>
      </c>
      <c r="H14" s="3">
        <v>4556366</v>
      </c>
      <c r="M14" s="7" t="s">
        <v>251</v>
      </c>
      <c r="N14" s="3">
        <v>168953.51219512196</v>
      </c>
    </row>
    <row r="15" spans="1:15" x14ac:dyDescent="0.3">
      <c r="G15" s="7" t="s">
        <v>447</v>
      </c>
      <c r="H15" s="3">
        <v>5494522</v>
      </c>
      <c r="J15" s="3" t="s">
        <v>459</v>
      </c>
      <c r="M15" s="7" t="s">
        <v>246</v>
      </c>
      <c r="N15" s="3">
        <v>165795.125</v>
      </c>
    </row>
    <row r="16" spans="1:15" x14ac:dyDescent="0.3">
      <c r="G16" s="7" t="s">
        <v>448</v>
      </c>
      <c r="H16" s="3">
        <v>4910026</v>
      </c>
      <c r="J16" s="3">
        <v>298666</v>
      </c>
      <c r="M16" s="7" t="s">
        <v>247</v>
      </c>
      <c r="N16" s="3">
        <v>163454.96666666667</v>
      </c>
    </row>
    <row r="17" spans="7:14" x14ac:dyDescent="0.3">
      <c r="G17" s="7" t="s">
        <v>449</v>
      </c>
      <c r="H17" s="3">
        <v>4959046</v>
      </c>
      <c r="M17" s="7" t="s">
        <v>244</v>
      </c>
      <c r="N17" s="3">
        <v>139428.8148148148</v>
      </c>
    </row>
    <row r="18" spans="7:14" x14ac:dyDescent="0.3">
      <c r="G18" s="7" t="s">
        <v>450</v>
      </c>
      <c r="H18" s="3">
        <v>4873821</v>
      </c>
      <c r="J18" s="3" t="s">
        <v>458</v>
      </c>
      <c r="M18" s="7" t="s">
        <v>434</v>
      </c>
      <c r="N18" s="3">
        <v>164997.17682926828</v>
      </c>
    </row>
    <row r="19" spans="7:14" x14ac:dyDescent="0.3">
      <c r="G19" s="7" t="s">
        <v>451</v>
      </c>
      <c r="H19" s="3">
        <v>4658511</v>
      </c>
      <c r="J19" s="3">
        <v>164535.182</v>
      </c>
    </row>
    <row r="20" spans="7:14" x14ac:dyDescent="0.3">
      <c r="G20" s="7" t="s">
        <v>452</v>
      </c>
      <c r="H20" s="3">
        <v>2454133</v>
      </c>
    </row>
    <row r="21" spans="7:14" x14ac:dyDescent="0.3">
      <c r="G21" s="7" t="s">
        <v>434</v>
      </c>
      <c r="H21" s="3">
        <v>82267591</v>
      </c>
      <c r="J21" s="3" t="s">
        <v>460</v>
      </c>
    </row>
    <row r="22" spans="7:14" x14ac:dyDescent="0.3">
      <c r="J22" s="5">
        <v>500</v>
      </c>
    </row>
  </sheetData>
  <conditionalFormatting sqref="A4">
    <cfRule type="colorScale" priority="7">
      <colorScale>
        <cfvo type="min"/>
        <cfvo type="percentile" val="50"/>
        <cfvo type="max"/>
        <color rgb="FFF8696B"/>
        <color rgb="FFFFEB84"/>
        <color rgb="FF63BE7B"/>
      </colorScale>
    </cfRule>
  </conditionalFormatting>
  <conditionalFormatting sqref="D4">
    <cfRule type="colorScale" priority="8">
      <colorScale>
        <cfvo type="min"/>
        <cfvo type="percentile" val="50"/>
        <cfvo type="max"/>
        <color rgb="FFF8696B"/>
        <color rgb="FFFFEB84"/>
        <color rgb="FF63BE7B"/>
      </colorScale>
    </cfRule>
  </conditionalFormatting>
  <pageMargins left="0.7" right="0.7" top="0.75" bottom="0.75" header="0.3" footer="0.3"/>
  <pageSetup paperSize="9" scale="50" orientation="landscape" horizontalDpi="300" verticalDpi="300" r:id="rId11"/>
  <drawing r:id="rId1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83404-2584-4E0E-B3F3-D922AC5A760D}">
  <sheetPr>
    <tabColor rgb="FFFFFF00"/>
  </sheetPr>
  <dimension ref="B1:R29"/>
  <sheetViews>
    <sheetView tabSelected="1" zoomScaleNormal="100" workbookViewId="0">
      <selection activeCell="U18" sqref="U18"/>
    </sheetView>
  </sheetViews>
  <sheetFormatPr defaultRowHeight="14.4" x14ac:dyDescent="0.3"/>
  <cols>
    <col min="1" max="1" width="5.21875" style="8" customWidth="1"/>
    <col min="2" max="2" width="13.109375" style="8" customWidth="1"/>
    <col min="3" max="3" width="12.88671875" style="8" customWidth="1"/>
    <col min="4" max="4" width="13.5546875" style="8" customWidth="1"/>
    <col min="5" max="5" width="13.77734375" style="8" customWidth="1"/>
    <col min="6" max="7" width="12.77734375" style="8" customWidth="1"/>
    <col min="8" max="8" width="8.77734375" style="8" customWidth="1"/>
    <col min="9" max="9" width="7.77734375" style="8" customWidth="1"/>
    <col min="10" max="10" width="5.6640625" style="8" customWidth="1"/>
    <col min="11" max="11" width="8.21875" style="8" customWidth="1"/>
    <col min="12" max="17" width="8.88671875" style="8"/>
    <col min="18" max="18" width="13.109375" style="8" customWidth="1"/>
    <col min="19" max="16384" width="8.88671875" style="8"/>
  </cols>
  <sheetData>
    <row r="1" spans="2:18" ht="23.4" customHeight="1" x14ac:dyDescent="0.3">
      <c r="B1" s="11" t="s">
        <v>465</v>
      </c>
      <c r="C1" s="11"/>
      <c r="D1" s="11"/>
      <c r="E1" s="11"/>
      <c r="F1" s="11"/>
      <c r="G1" s="11"/>
      <c r="H1" s="11"/>
      <c r="I1" s="11"/>
      <c r="J1" s="11"/>
      <c r="K1" s="11"/>
      <c r="L1" s="11"/>
      <c r="M1" s="11"/>
      <c r="N1" s="11"/>
      <c r="O1" s="11"/>
      <c r="P1" s="11"/>
      <c r="Q1" s="11"/>
      <c r="R1" s="11"/>
    </row>
    <row r="2" spans="2:18" ht="15" thickBot="1" x14ac:dyDescent="0.35">
      <c r="B2" s="12"/>
      <c r="C2" s="12"/>
      <c r="D2" s="12"/>
      <c r="E2" s="12"/>
      <c r="F2" s="12"/>
      <c r="G2" s="12"/>
      <c r="H2" s="12"/>
      <c r="I2" s="12"/>
      <c r="J2" s="12"/>
      <c r="K2" s="12"/>
      <c r="L2" s="12"/>
      <c r="M2" s="12"/>
      <c r="N2" s="12"/>
      <c r="O2" s="12"/>
      <c r="P2" s="12"/>
      <c r="Q2" s="12"/>
      <c r="R2" s="12"/>
    </row>
    <row r="3" spans="2:18" ht="15" thickTop="1" x14ac:dyDescent="0.3">
      <c r="B3" s="10"/>
      <c r="C3" s="10"/>
      <c r="D3" s="10"/>
      <c r="E3" s="10"/>
      <c r="F3" s="10"/>
      <c r="G3" s="10"/>
      <c r="H3" s="10"/>
      <c r="I3" s="10"/>
      <c r="J3" s="10"/>
      <c r="K3" s="10"/>
      <c r="L3" s="10"/>
      <c r="M3" s="10"/>
      <c r="N3" s="10"/>
      <c r="O3" s="10"/>
      <c r="P3" s="10"/>
      <c r="Q3" s="10"/>
      <c r="R3" s="10"/>
    </row>
    <row r="4" spans="2:18" x14ac:dyDescent="0.3">
      <c r="B4" s="10"/>
      <c r="C4" s="10"/>
      <c r="D4" s="10"/>
      <c r="E4" s="10"/>
      <c r="F4" s="10"/>
      <c r="G4" s="10"/>
      <c r="H4" s="10"/>
      <c r="I4" s="10"/>
      <c r="J4" s="10"/>
      <c r="K4" s="10"/>
      <c r="L4" s="10"/>
      <c r="M4" s="10"/>
      <c r="N4" s="10"/>
      <c r="O4" s="10"/>
      <c r="P4" s="10"/>
      <c r="Q4" s="10"/>
      <c r="R4" s="10"/>
    </row>
    <row r="5" spans="2:18" x14ac:dyDescent="0.3">
      <c r="B5" s="10"/>
      <c r="C5" s="10"/>
      <c r="D5" s="10"/>
      <c r="E5" s="10"/>
      <c r="F5" s="10"/>
      <c r="G5" s="10"/>
      <c r="H5" s="10"/>
      <c r="I5" s="10"/>
      <c r="J5" s="10"/>
      <c r="K5" s="10"/>
      <c r="L5" s="10"/>
      <c r="M5" s="10"/>
      <c r="N5" s="10"/>
      <c r="O5" s="10"/>
      <c r="P5" s="10"/>
      <c r="Q5" s="10"/>
      <c r="R5" s="10"/>
    </row>
    <row r="6" spans="2:18" x14ac:dyDescent="0.3">
      <c r="B6" s="10"/>
      <c r="C6" s="10"/>
      <c r="D6" s="10"/>
      <c r="E6" s="10"/>
      <c r="F6" s="10"/>
      <c r="G6" s="10"/>
      <c r="H6" s="10"/>
      <c r="I6" s="10"/>
      <c r="J6" s="10"/>
      <c r="K6" s="10"/>
      <c r="L6" s="10"/>
      <c r="M6" s="10"/>
      <c r="N6" s="10"/>
      <c r="O6" s="10"/>
      <c r="P6" s="10"/>
      <c r="Q6" s="10"/>
      <c r="R6" s="10"/>
    </row>
    <row r="7" spans="2:18" x14ac:dyDescent="0.3">
      <c r="B7" s="10"/>
      <c r="C7" s="10"/>
      <c r="D7" s="10"/>
      <c r="E7" s="10"/>
      <c r="F7" s="10"/>
      <c r="G7" s="10"/>
      <c r="H7" s="10"/>
      <c r="I7" s="10"/>
      <c r="J7" s="10"/>
      <c r="K7" s="10"/>
      <c r="L7" s="10"/>
      <c r="M7" s="10"/>
      <c r="N7" s="10"/>
      <c r="O7" s="10"/>
      <c r="P7" s="10"/>
      <c r="Q7" s="10"/>
      <c r="R7" s="10"/>
    </row>
    <row r="8" spans="2:18" x14ac:dyDescent="0.3">
      <c r="B8" s="10"/>
      <c r="C8" s="10"/>
      <c r="D8" s="10"/>
      <c r="E8" s="10"/>
      <c r="F8" s="10"/>
      <c r="G8" s="10"/>
      <c r="H8" s="10"/>
      <c r="I8" s="10"/>
      <c r="J8" s="10"/>
      <c r="K8" s="10"/>
      <c r="L8" s="10"/>
      <c r="M8" s="10"/>
      <c r="N8" s="10"/>
      <c r="O8" s="10"/>
      <c r="P8" s="10"/>
      <c r="Q8" s="10"/>
      <c r="R8" s="10"/>
    </row>
    <row r="9" spans="2:18" x14ac:dyDescent="0.3">
      <c r="B9" s="10"/>
      <c r="C9" s="10"/>
      <c r="D9" s="10"/>
      <c r="E9" s="10"/>
      <c r="F9" s="10"/>
      <c r="G9" s="10"/>
      <c r="H9" s="10"/>
      <c r="I9" s="10"/>
      <c r="J9" s="10"/>
      <c r="K9" s="10"/>
      <c r="L9" s="10"/>
      <c r="M9" s="10"/>
      <c r="N9" s="10"/>
      <c r="O9" s="10"/>
      <c r="P9" s="10"/>
      <c r="Q9" s="10"/>
      <c r="R9" s="10"/>
    </row>
    <row r="10" spans="2:18" x14ac:dyDescent="0.3">
      <c r="B10" s="10"/>
      <c r="C10" s="10"/>
      <c r="D10" s="10"/>
      <c r="E10" s="10"/>
      <c r="F10" s="10"/>
      <c r="G10" s="10"/>
      <c r="H10" s="10"/>
      <c r="I10" s="10"/>
      <c r="J10" s="10"/>
      <c r="K10" s="10"/>
      <c r="L10" s="10"/>
      <c r="M10" s="10"/>
      <c r="N10" s="10"/>
      <c r="O10" s="10"/>
      <c r="P10" s="10"/>
      <c r="Q10" s="10"/>
      <c r="R10" s="10"/>
    </row>
    <row r="11" spans="2:18" x14ac:dyDescent="0.3">
      <c r="B11" s="10"/>
      <c r="C11" s="10"/>
      <c r="D11" s="10"/>
      <c r="E11" s="10"/>
      <c r="F11" s="10"/>
      <c r="G11" s="10"/>
      <c r="H11" s="10"/>
      <c r="I11" s="10"/>
      <c r="J11" s="10"/>
      <c r="K11" s="10"/>
      <c r="L11" s="10"/>
      <c r="M11" s="10"/>
      <c r="N11" s="10"/>
      <c r="O11" s="10"/>
      <c r="P11" s="10"/>
      <c r="Q11" s="10"/>
      <c r="R11" s="10"/>
    </row>
    <row r="12" spans="2:18" x14ac:dyDescent="0.3">
      <c r="B12" s="10"/>
      <c r="C12" s="10"/>
      <c r="D12" s="10"/>
      <c r="E12" s="10"/>
      <c r="F12" s="10"/>
      <c r="G12" s="10"/>
      <c r="H12" s="10"/>
      <c r="I12" s="10"/>
      <c r="J12" s="10"/>
      <c r="K12" s="10"/>
      <c r="L12" s="10"/>
      <c r="M12" s="10"/>
      <c r="N12" s="10"/>
      <c r="O12" s="10"/>
      <c r="P12" s="10"/>
      <c r="Q12" s="10"/>
      <c r="R12" s="10"/>
    </row>
    <row r="13" spans="2:18" x14ac:dyDescent="0.3">
      <c r="B13" s="10"/>
      <c r="C13" s="10"/>
      <c r="D13" s="10"/>
      <c r="E13" s="10"/>
      <c r="F13" s="10"/>
      <c r="G13" s="10"/>
      <c r="H13" s="10"/>
      <c r="I13" s="10"/>
      <c r="J13" s="10"/>
      <c r="K13" s="10"/>
      <c r="L13" s="10"/>
      <c r="M13" s="10"/>
      <c r="N13" s="10"/>
      <c r="O13" s="10"/>
      <c r="P13" s="10"/>
      <c r="Q13" s="10"/>
      <c r="R13" s="10"/>
    </row>
    <row r="14" spans="2:18" x14ac:dyDescent="0.3">
      <c r="B14" s="10"/>
      <c r="C14" s="10"/>
      <c r="D14" s="10"/>
      <c r="E14" s="10"/>
      <c r="F14" s="10"/>
      <c r="G14" s="10"/>
      <c r="H14" s="10"/>
      <c r="I14" s="10"/>
      <c r="J14" s="10"/>
      <c r="K14" s="10"/>
      <c r="L14" s="10"/>
      <c r="M14" s="10"/>
      <c r="N14" s="10"/>
      <c r="O14" s="10"/>
      <c r="P14" s="10"/>
      <c r="Q14" s="10"/>
      <c r="R14" s="10"/>
    </row>
    <row r="15" spans="2:18" x14ac:dyDescent="0.3">
      <c r="B15" s="10"/>
      <c r="C15" s="10"/>
      <c r="D15" s="10"/>
      <c r="E15" s="10"/>
      <c r="F15" s="10"/>
      <c r="G15" s="10"/>
      <c r="H15" s="10"/>
      <c r="I15" s="10"/>
      <c r="J15" s="10"/>
      <c r="K15" s="10"/>
      <c r="L15" s="10"/>
      <c r="M15" s="10"/>
      <c r="N15" s="10"/>
      <c r="O15" s="10"/>
      <c r="P15" s="10"/>
      <c r="Q15" s="10"/>
      <c r="R15" s="10"/>
    </row>
    <row r="16" spans="2:18" x14ac:dyDescent="0.3">
      <c r="B16" s="10"/>
      <c r="C16" s="10"/>
      <c r="D16" s="10"/>
      <c r="E16" s="10"/>
      <c r="F16" s="10"/>
      <c r="G16" s="10"/>
      <c r="H16" s="10"/>
      <c r="I16" s="10"/>
      <c r="J16" s="10"/>
      <c r="K16" s="10"/>
      <c r="L16" s="10"/>
      <c r="M16" s="10"/>
      <c r="N16" s="10"/>
      <c r="O16" s="10"/>
      <c r="P16" s="10"/>
      <c r="Q16" s="10"/>
      <c r="R16" s="10"/>
    </row>
    <row r="17" spans="2:18" x14ac:dyDescent="0.3">
      <c r="B17" s="10"/>
      <c r="C17" s="10"/>
      <c r="D17" s="10"/>
      <c r="E17" s="10"/>
      <c r="F17" s="10"/>
      <c r="G17" s="10"/>
      <c r="H17" s="10"/>
      <c r="I17" s="10"/>
      <c r="J17" s="10"/>
      <c r="K17" s="10"/>
      <c r="L17" s="10"/>
      <c r="M17" s="10"/>
      <c r="N17" s="10"/>
      <c r="O17" s="10"/>
      <c r="P17" s="10"/>
      <c r="Q17" s="10"/>
      <c r="R17" s="10"/>
    </row>
    <row r="18" spans="2:18" x14ac:dyDescent="0.3">
      <c r="B18" s="10"/>
      <c r="C18" s="10"/>
      <c r="D18" s="10"/>
      <c r="E18" s="10"/>
      <c r="F18" s="10"/>
      <c r="G18" s="10"/>
      <c r="H18" s="10"/>
      <c r="I18" s="10"/>
      <c r="J18" s="10"/>
      <c r="K18" s="10"/>
      <c r="L18" s="10"/>
      <c r="M18" s="10"/>
      <c r="N18" s="10"/>
      <c r="O18" s="10"/>
      <c r="P18" s="10"/>
      <c r="Q18" s="10"/>
      <c r="R18" s="10"/>
    </row>
    <row r="19" spans="2:18" x14ac:dyDescent="0.3">
      <c r="B19" s="10"/>
      <c r="C19" s="10"/>
      <c r="D19" s="10"/>
      <c r="E19" s="10"/>
      <c r="F19" s="10"/>
      <c r="G19" s="10"/>
      <c r="H19" s="10"/>
      <c r="I19" s="10"/>
      <c r="J19" s="10"/>
      <c r="K19" s="10"/>
      <c r="L19" s="10"/>
      <c r="M19" s="10"/>
      <c r="N19" s="10"/>
      <c r="O19" s="10"/>
      <c r="P19" s="10"/>
      <c r="Q19" s="10"/>
      <c r="R19" s="10"/>
    </row>
    <row r="20" spans="2:18" x14ac:dyDescent="0.3">
      <c r="B20" s="10"/>
      <c r="C20" s="10"/>
      <c r="D20" s="10"/>
      <c r="E20" s="10"/>
      <c r="F20" s="10"/>
      <c r="G20" s="10"/>
      <c r="H20" s="10"/>
      <c r="I20" s="10"/>
      <c r="J20" s="10"/>
      <c r="K20" s="10"/>
      <c r="L20" s="10"/>
      <c r="M20" s="10"/>
      <c r="N20" s="10"/>
      <c r="O20" s="10"/>
      <c r="P20" s="10"/>
      <c r="Q20" s="10"/>
      <c r="R20" s="10"/>
    </row>
    <row r="21" spans="2:18" x14ac:dyDescent="0.3">
      <c r="B21" s="10"/>
      <c r="C21" s="10"/>
      <c r="D21" s="10"/>
      <c r="E21" s="10"/>
      <c r="F21" s="10"/>
      <c r="G21" s="10"/>
      <c r="H21" s="10"/>
      <c r="I21" s="10"/>
      <c r="J21" s="10"/>
      <c r="K21" s="10"/>
      <c r="L21" s="10"/>
      <c r="M21" s="10"/>
      <c r="N21" s="10"/>
      <c r="O21" s="10"/>
      <c r="P21" s="10"/>
      <c r="Q21" s="10"/>
      <c r="R21" s="10"/>
    </row>
    <row r="22" spans="2:18" x14ac:dyDescent="0.3">
      <c r="B22" s="10"/>
      <c r="C22" s="10"/>
      <c r="D22" s="10"/>
      <c r="E22" s="10"/>
      <c r="F22" s="10"/>
      <c r="G22" s="10"/>
      <c r="H22" s="10"/>
      <c r="I22" s="10"/>
      <c r="J22" s="10"/>
      <c r="K22" s="10"/>
      <c r="L22" s="10"/>
      <c r="M22" s="10"/>
      <c r="N22" s="10"/>
      <c r="O22" s="10"/>
      <c r="P22" s="10"/>
      <c r="Q22" s="10"/>
      <c r="R22" s="10"/>
    </row>
    <row r="23" spans="2:18" x14ac:dyDescent="0.3">
      <c r="B23" s="10"/>
      <c r="C23" s="10"/>
      <c r="D23" s="10"/>
      <c r="E23" s="10"/>
      <c r="F23" s="10"/>
      <c r="G23" s="10"/>
      <c r="H23" s="10"/>
      <c r="I23" s="10"/>
      <c r="J23" s="10"/>
      <c r="K23" s="10"/>
      <c r="L23" s="10"/>
      <c r="M23" s="10"/>
      <c r="N23" s="10"/>
      <c r="O23" s="10"/>
      <c r="P23" s="10"/>
      <c r="Q23" s="10"/>
      <c r="R23" s="10"/>
    </row>
    <row r="24" spans="2:18" x14ac:dyDescent="0.3">
      <c r="B24" s="10"/>
      <c r="C24" s="10"/>
      <c r="D24" s="10"/>
      <c r="E24" s="10"/>
      <c r="F24" s="10"/>
      <c r="G24" s="10"/>
      <c r="H24" s="10"/>
      <c r="I24" s="10"/>
      <c r="J24" s="10"/>
      <c r="K24" s="10"/>
      <c r="L24" s="10"/>
      <c r="M24" s="10"/>
      <c r="N24" s="10"/>
      <c r="O24" s="10"/>
      <c r="P24" s="10"/>
      <c r="Q24" s="10"/>
      <c r="R24" s="10"/>
    </row>
    <row r="25" spans="2:18" x14ac:dyDescent="0.3">
      <c r="B25" s="10"/>
      <c r="C25" s="10"/>
      <c r="D25" s="10"/>
      <c r="E25" s="10"/>
      <c r="F25" s="10"/>
      <c r="G25" s="10"/>
      <c r="H25" s="10"/>
      <c r="I25" s="10"/>
      <c r="J25" s="10"/>
      <c r="K25" s="10"/>
      <c r="L25" s="10"/>
      <c r="M25" s="10"/>
      <c r="N25" s="10"/>
      <c r="O25" s="10"/>
      <c r="P25" s="10"/>
      <c r="Q25" s="10"/>
      <c r="R25" s="10"/>
    </row>
    <row r="26" spans="2:18" x14ac:dyDescent="0.3">
      <c r="B26" s="10"/>
      <c r="C26" s="10"/>
      <c r="D26" s="10"/>
      <c r="E26" s="10"/>
      <c r="F26" s="10"/>
      <c r="G26" s="10"/>
      <c r="H26" s="10"/>
      <c r="I26" s="10"/>
      <c r="J26" s="10"/>
      <c r="K26" s="10"/>
      <c r="L26" s="10"/>
      <c r="M26" s="10"/>
      <c r="N26" s="10"/>
      <c r="O26" s="10"/>
      <c r="P26" s="10"/>
      <c r="Q26" s="10"/>
      <c r="R26" s="10"/>
    </row>
    <row r="27" spans="2:18" x14ac:dyDescent="0.3">
      <c r="B27" s="10"/>
      <c r="C27" s="10"/>
      <c r="D27" s="10"/>
      <c r="E27" s="10"/>
      <c r="F27" s="10"/>
      <c r="G27" s="10"/>
      <c r="H27" s="10"/>
      <c r="I27" s="10"/>
      <c r="J27" s="10"/>
      <c r="K27" s="10"/>
      <c r="L27" s="10"/>
      <c r="M27" s="10"/>
      <c r="N27" s="10"/>
      <c r="O27" s="10"/>
      <c r="P27" s="10"/>
      <c r="Q27" s="10"/>
      <c r="R27" s="10"/>
    </row>
    <row r="28" spans="2:18" x14ac:dyDescent="0.3">
      <c r="B28" s="10"/>
      <c r="C28" s="10"/>
      <c r="D28" s="10"/>
      <c r="E28" s="10"/>
      <c r="F28" s="10"/>
      <c r="G28" s="10"/>
      <c r="H28" s="10"/>
      <c r="I28" s="10"/>
      <c r="J28" s="10"/>
      <c r="K28" s="10"/>
      <c r="L28" s="10"/>
      <c r="M28" s="10"/>
      <c r="N28" s="10"/>
      <c r="O28" s="10"/>
      <c r="P28" s="10"/>
      <c r="Q28" s="10"/>
      <c r="R28" s="10"/>
    </row>
    <row r="29" spans="2:18" x14ac:dyDescent="0.3">
      <c r="B29" s="10"/>
      <c r="C29" s="10"/>
      <c r="D29" s="10"/>
      <c r="E29" s="10"/>
      <c r="F29" s="10"/>
      <c r="G29" s="10"/>
      <c r="H29" s="10"/>
      <c r="I29" s="10"/>
      <c r="J29" s="10"/>
      <c r="K29" s="10"/>
      <c r="L29" s="10"/>
      <c r="M29" s="10"/>
      <c r="N29" s="10"/>
      <c r="O29" s="10"/>
      <c r="P29" s="10"/>
      <c r="Q29" s="10"/>
      <c r="R29" s="10"/>
    </row>
  </sheetData>
  <mergeCells count="1">
    <mergeCell ref="B1:R2"/>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C007B-F34E-4DE3-A110-C014F3C29A45}">
  <sheetPr>
    <tabColor theme="9"/>
  </sheetPr>
  <dimension ref="A1:E2"/>
  <sheetViews>
    <sheetView workbookViewId="0">
      <selection activeCell="E20" sqref="E20"/>
    </sheetView>
  </sheetViews>
  <sheetFormatPr defaultRowHeight="14.4" x14ac:dyDescent="0.3"/>
  <cols>
    <col min="1" max="1" width="18.44140625" customWidth="1"/>
    <col min="2" max="2" width="26.21875" customWidth="1"/>
    <col min="3" max="3" width="20.77734375" customWidth="1"/>
    <col min="4" max="4" width="24.21875" customWidth="1"/>
    <col min="5" max="5" width="23" customWidth="1"/>
  </cols>
  <sheetData>
    <row r="1" spans="1:5" x14ac:dyDescent="0.3">
      <c r="A1" t="s">
        <v>425</v>
      </c>
      <c r="B1" s="2" t="s">
        <v>427</v>
      </c>
      <c r="C1" s="3" t="s">
        <v>428</v>
      </c>
      <c r="D1" t="s">
        <v>429</v>
      </c>
      <c r="E1" t="s">
        <v>430</v>
      </c>
    </row>
    <row r="2" spans="1:5" x14ac:dyDescent="0.3">
      <c r="A2">
        <f>COUNTIF(Sales!E2:E501, "Sold")</f>
        <v>164</v>
      </c>
      <c r="B2" s="2">
        <f>SUMIF(Sales!E2:E501, "Sold", Sales!D2:D501)</f>
        <v>27059537</v>
      </c>
      <c r="C2" s="3">
        <f>SUMIFS(Sales!D2:D501, Sales!C2:C501, 3, Sales!E2:E501, "Sold")</f>
        <v>2932505</v>
      </c>
      <c r="D2" s="3">
        <f>SUMIFS(Sales!D2:D501, Sales!G2:G501, "Belgrade", Sales!E2:E501, "Sold")</f>
        <v>4384053</v>
      </c>
      <c r="E2">
        <f>COUNTIFS(Sales!C2:C501, 5, Sales!E2:E501, "Pending")</f>
        <v>17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DF16047-0F12-4A15-8463-0B0CE101698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Properties</vt:lpstr>
      <vt:lpstr>Agents</vt:lpstr>
      <vt:lpstr>Sales</vt:lpstr>
      <vt:lpstr>Pivot tables</vt:lpstr>
      <vt:lpstr>Dashboard</vt:lpstr>
      <vt:lpstr>Analysis</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Nevena Ćulibrk</cp:lastModifiedBy>
  <cp:lastPrinted>2026-05-11T15:56:44Z</cp:lastPrinted>
  <dcterms:created xsi:type="dcterms:W3CDTF">2026-05-08T14:21:55Z</dcterms:created>
  <dcterms:modified xsi:type="dcterms:W3CDTF">2026-05-12T20:16:09Z</dcterms:modified>
</cp:coreProperties>
</file>